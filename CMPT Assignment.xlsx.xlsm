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5101\Desktop\Excel Practice\"/>
    </mc:Choice>
  </mc:AlternateContent>
  <xr:revisionPtr revIDLastSave="0" documentId="13_ncr:1_{BEA47F10-50D0-47C3-8630-0E14898E55DB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Sheet1" sheetId="1" r:id="rId1"/>
  </sheets>
  <definedNames>
    <definedName name="solver_adj" localSheetId="0" hidden="1">Sheet1!$I$3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Sheet1!$O$36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" l="1"/>
  <c r="O31" i="1" l="1"/>
  <c r="O23" i="1"/>
  <c r="O24" i="1"/>
  <c r="O25" i="1"/>
  <c r="O26" i="1"/>
  <c r="O27" i="1"/>
  <c r="O28" i="1"/>
  <c r="O29" i="1"/>
  <c r="O30" i="1"/>
  <c r="O22" i="1"/>
  <c r="O21" i="1"/>
  <c r="E2" i="1" l="1"/>
  <c r="A3" i="1" l="1"/>
  <c r="B3" i="1" s="1"/>
  <c r="J3" i="1" l="1"/>
  <c r="H3" i="1"/>
  <c r="C3" i="1"/>
  <c r="A4" i="1"/>
  <c r="B4" i="1" s="1"/>
  <c r="D3" i="1" l="1"/>
  <c r="E3" i="1" s="1"/>
  <c r="A5" i="1"/>
  <c r="B5" i="1" s="1"/>
  <c r="J4" i="1"/>
  <c r="G4" i="1"/>
  <c r="G5" i="1" s="1"/>
  <c r="H4" i="1"/>
  <c r="I4" i="1" l="1"/>
  <c r="A6" i="1"/>
  <c r="B6" i="1" s="1"/>
  <c r="J5" i="1"/>
  <c r="A7" i="1" l="1"/>
  <c r="B7" i="1" s="1"/>
  <c r="J6" i="1"/>
  <c r="G6" i="1"/>
  <c r="C4" i="1"/>
  <c r="G7" i="1" l="1"/>
  <c r="A8" i="1"/>
  <c r="B8" i="1" s="1"/>
  <c r="J7" i="1"/>
  <c r="A9" i="1" l="1"/>
  <c r="B9" i="1" s="1"/>
  <c r="J8" i="1"/>
  <c r="G8" i="1"/>
  <c r="G9" i="1" s="1"/>
  <c r="D4" i="1"/>
  <c r="A10" i="1" l="1"/>
  <c r="B10" i="1" s="1"/>
  <c r="J9" i="1"/>
  <c r="E4" i="1"/>
  <c r="A11" i="1" l="1"/>
  <c r="B11" i="1" s="1"/>
  <c r="J10" i="1"/>
  <c r="G10" i="1"/>
  <c r="C5" i="1"/>
  <c r="H5" i="1"/>
  <c r="I5" i="1" s="1"/>
  <c r="G11" i="1" l="1"/>
  <c r="A12" i="1"/>
  <c r="B12" i="1" s="1"/>
  <c r="J11" i="1"/>
  <c r="D5" i="1"/>
  <c r="E5" i="1" s="1"/>
  <c r="H6" i="1"/>
  <c r="I6" i="1" s="1"/>
  <c r="A13" i="1" l="1"/>
  <c r="B13" i="1" s="1"/>
  <c r="J12" i="1"/>
  <c r="G12" i="1"/>
  <c r="G13" i="1" s="1"/>
  <c r="C6" i="1"/>
  <c r="A14" i="1" l="1"/>
  <c r="A15" i="1" s="1"/>
  <c r="J13" i="1"/>
  <c r="D6" i="1"/>
  <c r="E6" i="1" s="1"/>
  <c r="H7" i="1"/>
  <c r="I7" i="1" s="1"/>
  <c r="B14" i="1" l="1"/>
  <c r="B15" i="1" s="1"/>
  <c r="B16" i="1" s="1"/>
  <c r="A16" i="1"/>
  <c r="J15" i="1"/>
  <c r="G14" i="1"/>
  <c r="G15" i="1" s="1"/>
  <c r="C7" i="1"/>
  <c r="G16" i="1" l="1"/>
  <c r="A17" i="1"/>
  <c r="B17" i="1" s="1"/>
  <c r="J16" i="1"/>
  <c r="D7" i="1"/>
  <c r="E7" i="1" s="1"/>
  <c r="H8" i="1"/>
  <c r="I8" i="1" s="1"/>
  <c r="A18" i="1" l="1"/>
  <c r="B18" i="1" s="1"/>
  <c r="J17" i="1"/>
  <c r="G17" i="1"/>
  <c r="G18" i="1" s="1"/>
  <c r="C8" i="1"/>
  <c r="A19" i="1" l="1"/>
  <c r="B19" i="1" s="1"/>
  <c r="J18" i="1"/>
  <c r="H9" i="1"/>
  <c r="I9" i="1" s="1"/>
  <c r="D8" i="1"/>
  <c r="A20" i="1" l="1"/>
  <c r="B20" i="1" s="1"/>
  <c r="J19" i="1"/>
  <c r="G19" i="1"/>
  <c r="E8" i="1"/>
  <c r="G20" i="1" l="1"/>
  <c r="A21" i="1"/>
  <c r="B21" i="1" s="1"/>
  <c r="J20" i="1"/>
  <c r="C9" i="1"/>
  <c r="A22" i="1" l="1"/>
  <c r="B22" i="1" s="1"/>
  <c r="J21" i="1"/>
  <c r="G21" i="1"/>
  <c r="D9" i="1"/>
  <c r="E9" i="1" s="1"/>
  <c r="H10" i="1"/>
  <c r="I10" i="1" s="1"/>
  <c r="G22" i="1" l="1"/>
  <c r="A23" i="1"/>
  <c r="B23" i="1" s="1"/>
  <c r="J22" i="1"/>
  <c r="C10" i="1"/>
  <c r="A24" i="1" l="1"/>
  <c r="B24" i="1" s="1"/>
  <c r="J23" i="1"/>
  <c r="G23" i="1"/>
  <c r="D10" i="1"/>
  <c r="E10" i="1" s="1"/>
  <c r="H11" i="1"/>
  <c r="I11" i="1" s="1"/>
  <c r="G24" i="1" l="1"/>
  <c r="A25" i="1"/>
  <c r="B25" i="1" s="1"/>
  <c r="J24" i="1"/>
  <c r="C11" i="1"/>
  <c r="A26" i="1" l="1"/>
  <c r="A27" i="1" s="1"/>
  <c r="J25" i="1"/>
  <c r="G25" i="1"/>
  <c r="G26" i="1" s="1"/>
  <c r="G27" i="1" s="1"/>
  <c r="D11" i="1"/>
  <c r="E11" i="1" s="1"/>
  <c r="H12" i="1"/>
  <c r="I12" i="1" s="1"/>
  <c r="B26" i="1" l="1"/>
  <c r="B27" i="1" s="1"/>
  <c r="A28" i="1"/>
  <c r="J27" i="1"/>
  <c r="C12" i="1"/>
  <c r="B28" i="1" l="1"/>
  <c r="A29" i="1"/>
  <c r="J28" i="1"/>
  <c r="G28" i="1"/>
  <c r="G29" i="1" s="1"/>
  <c r="D12" i="1"/>
  <c r="E12" i="1" s="1"/>
  <c r="H13" i="1"/>
  <c r="I13" i="1" s="1"/>
  <c r="B29" i="1" l="1"/>
  <c r="A30" i="1"/>
  <c r="J29" i="1"/>
  <c r="C13" i="1"/>
  <c r="B30" i="1" l="1"/>
  <c r="A31" i="1"/>
  <c r="J30" i="1"/>
  <c r="G30" i="1"/>
  <c r="G31" i="1" s="1"/>
  <c r="D13" i="1"/>
  <c r="E13" i="1" s="1"/>
  <c r="H14" i="1"/>
  <c r="J14" i="1" s="1"/>
  <c r="B31" i="1" l="1"/>
  <c r="A32" i="1"/>
  <c r="J31" i="1"/>
  <c r="C14" i="1"/>
  <c r="B32" i="1" l="1"/>
  <c r="A33" i="1"/>
  <c r="J32" i="1"/>
  <c r="G32" i="1"/>
  <c r="G33" i="1" s="1"/>
  <c r="B33" i="1" l="1"/>
  <c r="B34" i="1" s="1"/>
  <c r="A34" i="1"/>
  <c r="J33" i="1"/>
  <c r="I14" i="1"/>
  <c r="D14" i="1"/>
  <c r="E14" i="1" s="1"/>
  <c r="A35" i="1" l="1"/>
  <c r="B35" i="1" s="1"/>
  <c r="J34" i="1"/>
  <c r="G34" i="1"/>
  <c r="H15" i="1"/>
  <c r="I15" i="1" s="1"/>
  <c r="C15" i="1"/>
  <c r="G35" i="1" l="1"/>
  <c r="A36" i="1"/>
  <c r="B36" i="1" s="1"/>
  <c r="J35" i="1"/>
  <c r="H16" i="1"/>
  <c r="I16" i="1" s="1"/>
  <c r="D15" i="1"/>
  <c r="A37" i="1" l="1"/>
  <c r="B37" i="1" s="1"/>
  <c r="J36" i="1"/>
  <c r="G36" i="1"/>
  <c r="G37" i="1" s="1"/>
  <c r="E15" i="1"/>
  <c r="A38" i="1" l="1"/>
  <c r="A39" i="1" s="1"/>
  <c r="J37" i="1"/>
  <c r="C16" i="1"/>
  <c r="B38" i="1" l="1"/>
  <c r="A40" i="1"/>
  <c r="J39" i="1"/>
  <c r="G38" i="1"/>
  <c r="G39" i="1" s="1"/>
  <c r="D16" i="1"/>
  <c r="E16" i="1" s="1"/>
  <c r="H17" i="1"/>
  <c r="I17" i="1" s="1"/>
  <c r="G40" i="1" l="1"/>
  <c r="A41" i="1"/>
  <c r="J40" i="1"/>
  <c r="C17" i="1"/>
  <c r="A42" i="1" l="1"/>
  <c r="J41" i="1"/>
  <c r="G41" i="1"/>
  <c r="H18" i="1"/>
  <c r="I18" i="1" s="1"/>
  <c r="G42" i="1" l="1"/>
  <c r="A43" i="1"/>
  <c r="J42" i="1"/>
  <c r="D17" i="1"/>
  <c r="E17" i="1" s="1"/>
  <c r="A44" i="1" l="1"/>
  <c r="J43" i="1"/>
  <c r="G43" i="1"/>
  <c r="C18" i="1"/>
  <c r="G44" i="1" l="1"/>
  <c r="A45" i="1"/>
  <c r="J44" i="1"/>
  <c r="H19" i="1"/>
  <c r="I19" i="1" s="1"/>
  <c r="A46" i="1" l="1"/>
  <c r="J45" i="1"/>
  <c r="G45" i="1"/>
  <c r="D18" i="1"/>
  <c r="E18" i="1" s="1"/>
  <c r="G46" i="1" l="1"/>
  <c r="A47" i="1"/>
  <c r="J46" i="1"/>
  <c r="C19" i="1"/>
  <c r="A48" i="1" l="1"/>
  <c r="J47" i="1"/>
  <c r="G47" i="1"/>
  <c r="H20" i="1"/>
  <c r="I20" i="1" s="1"/>
  <c r="D19" i="1"/>
  <c r="G48" i="1" l="1"/>
  <c r="A49" i="1"/>
  <c r="J48" i="1"/>
  <c r="E19" i="1"/>
  <c r="A50" i="1" l="1"/>
  <c r="A51" i="1" s="1"/>
  <c r="J49" i="1"/>
  <c r="G49" i="1"/>
  <c r="G50" i="1" s="1"/>
  <c r="G51" i="1" s="1"/>
  <c r="C20" i="1"/>
  <c r="A52" i="1" l="1"/>
  <c r="J51" i="1"/>
  <c r="D20" i="1"/>
  <c r="E20" i="1" s="1"/>
  <c r="H21" i="1"/>
  <c r="I21" i="1" s="1"/>
  <c r="A53" i="1" l="1"/>
  <c r="J52" i="1"/>
  <c r="G52" i="1"/>
  <c r="G53" i="1" s="1"/>
  <c r="C21" i="1"/>
  <c r="A54" i="1" l="1"/>
  <c r="J53" i="1"/>
  <c r="D21" i="1"/>
  <c r="E21" i="1" s="1"/>
  <c r="H22" i="1"/>
  <c r="I22" i="1" s="1"/>
  <c r="A55" i="1" l="1"/>
  <c r="J54" i="1"/>
  <c r="G54" i="1"/>
  <c r="G55" i="1" s="1"/>
  <c r="C22" i="1"/>
  <c r="A56" i="1" l="1"/>
  <c r="J55" i="1"/>
  <c r="D22" i="1"/>
  <c r="E22" i="1" s="1"/>
  <c r="H23" i="1"/>
  <c r="I23" i="1" s="1"/>
  <c r="A57" i="1" l="1"/>
  <c r="J56" i="1"/>
  <c r="G56" i="1"/>
  <c r="C23" i="1"/>
  <c r="G57" i="1" l="1"/>
  <c r="A58" i="1"/>
  <c r="J57" i="1"/>
  <c r="D23" i="1"/>
  <c r="E23" i="1" s="1"/>
  <c r="H24" i="1"/>
  <c r="I24" i="1" s="1"/>
  <c r="A59" i="1" l="1"/>
  <c r="J58" i="1"/>
  <c r="G58" i="1"/>
  <c r="G59" i="1" s="1"/>
  <c r="C24" i="1"/>
  <c r="A60" i="1" l="1"/>
  <c r="J59" i="1"/>
  <c r="D24" i="1"/>
  <c r="E24" i="1" s="1"/>
  <c r="H25" i="1"/>
  <c r="I25" i="1" s="1"/>
  <c r="A61" i="1" l="1"/>
  <c r="J60" i="1"/>
  <c r="G60" i="1"/>
  <c r="C25" i="1"/>
  <c r="G61" i="1" l="1"/>
  <c r="A62" i="1"/>
  <c r="A63" i="1" s="1"/>
  <c r="J61" i="1"/>
  <c r="D25" i="1"/>
  <c r="E25" i="1" s="1"/>
  <c r="H26" i="1"/>
  <c r="J26" i="1" s="1"/>
  <c r="A64" i="1" l="1"/>
  <c r="J63" i="1"/>
  <c r="G62" i="1"/>
  <c r="G63" i="1" s="1"/>
  <c r="G64" i="1" s="1"/>
  <c r="C26" i="1"/>
  <c r="A65" i="1" l="1"/>
  <c r="J64" i="1"/>
  <c r="A66" i="1" l="1"/>
  <c r="J65" i="1"/>
  <c r="G65" i="1"/>
  <c r="I26" i="1"/>
  <c r="H27" i="1" s="1"/>
  <c r="D26" i="1"/>
  <c r="E26" i="1" s="1"/>
  <c r="G66" i="1" l="1"/>
  <c r="A67" i="1"/>
  <c r="J66" i="1"/>
  <c r="I27" i="1"/>
  <c r="C27" i="1"/>
  <c r="A68" i="1" l="1"/>
  <c r="J67" i="1"/>
  <c r="G67" i="1"/>
  <c r="D27" i="1"/>
  <c r="E27" i="1" s="1"/>
  <c r="H28" i="1"/>
  <c r="I28" i="1" s="1"/>
  <c r="G68" i="1" l="1"/>
  <c r="A69" i="1"/>
  <c r="J68" i="1"/>
  <c r="C28" i="1"/>
  <c r="A70" i="1" l="1"/>
  <c r="J69" i="1"/>
  <c r="G69" i="1"/>
  <c r="G70" i="1" s="1"/>
  <c r="D28" i="1"/>
  <c r="E28" i="1" s="1"/>
  <c r="H29" i="1"/>
  <c r="I29" i="1" s="1"/>
  <c r="A71" i="1" l="1"/>
  <c r="J70" i="1"/>
  <c r="C29" i="1"/>
  <c r="A72" i="1" l="1"/>
  <c r="J71" i="1"/>
  <c r="G71" i="1"/>
  <c r="G72" i="1" s="1"/>
  <c r="D29" i="1"/>
  <c r="E29" i="1" s="1"/>
  <c r="H30" i="1"/>
  <c r="I30" i="1" s="1"/>
  <c r="A73" i="1" l="1"/>
  <c r="J72" i="1"/>
  <c r="C30" i="1"/>
  <c r="A74" i="1" l="1"/>
  <c r="A75" i="1" s="1"/>
  <c r="J73" i="1"/>
  <c r="G73" i="1"/>
  <c r="G74" i="1" s="1"/>
  <c r="G75" i="1" s="1"/>
  <c r="D30" i="1"/>
  <c r="E30" i="1" s="1"/>
  <c r="H31" i="1"/>
  <c r="I31" i="1" s="1"/>
  <c r="A76" i="1" l="1"/>
  <c r="J75" i="1"/>
  <c r="C31" i="1"/>
  <c r="A77" i="1" l="1"/>
  <c r="J76" i="1"/>
  <c r="G76" i="1"/>
  <c r="G77" i="1" s="1"/>
  <c r="D31" i="1"/>
  <c r="E31" i="1" s="1"/>
  <c r="H32" i="1"/>
  <c r="I32" i="1" s="1"/>
  <c r="A78" i="1" l="1"/>
  <c r="J77" i="1"/>
  <c r="C32" i="1"/>
  <c r="A79" i="1" l="1"/>
  <c r="J78" i="1"/>
  <c r="G78" i="1"/>
  <c r="G79" i="1" s="1"/>
  <c r="D32" i="1"/>
  <c r="E32" i="1" s="1"/>
  <c r="H33" i="1"/>
  <c r="I33" i="1" s="1"/>
  <c r="A80" i="1" l="1"/>
  <c r="J79" i="1"/>
  <c r="C33" i="1"/>
  <c r="A81" i="1" l="1"/>
  <c r="J80" i="1"/>
  <c r="G80" i="1"/>
  <c r="H34" i="1"/>
  <c r="I34" i="1" s="1"/>
  <c r="G81" i="1" l="1"/>
  <c r="A82" i="1"/>
  <c r="J81" i="1"/>
  <c r="D33" i="1"/>
  <c r="E33" i="1" s="1"/>
  <c r="A83" i="1" l="1"/>
  <c r="J82" i="1"/>
  <c r="G82" i="1"/>
  <c r="G83" i="1" s="1"/>
  <c r="C34" i="1"/>
  <c r="H35" i="1"/>
  <c r="I35" i="1" s="1"/>
  <c r="A84" i="1" l="1"/>
  <c r="J83" i="1"/>
  <c r="D34" i="1"/>
  <c r="E34" i="1" s="1"/>
  <c r="A85" i="1" l="1"/>
  <c r="J84" i="1"/>
  <c r="G84" i="1"/>
  <c r="G85" i="1" s="1"/>
  <c r="H36" i="1"/>
  <c r="I36" i="1" s="1"/>
  <c r="C35" i="1"/>
  <c r="A86" i="1" l="1"/>
  <c r="A87" i="1" s="1"/>
  <c r="J85" i="1"/>
  <c r="D35" i="1"/>
  <c r="E35" i="1" s="1"/>
  <c r="A88" i="1" l="1"/>
  <c r="J87" i="1"/>
  <c r="G86" i="1"/>
  <c r="G87" i="1" s="1"/>
  <c r="G88" i="1" s="1"/>
  <c r="C36" i="1"/>
  <c r="A89" i="1" l="1"/>
  <c r="J88" i="1"/>
  <c r="H37" i="1"/>
  <c r="I37" i="1" s="1"/>
  <c r="D36" i="1"/>
  <c r="E36" i="1" s="1"/>
  <c r="A90" i="1" l="1"/>
  <c r="J89" i="1"/>
  <c r="G89" i="1"/>
  <c r="C37" i="1"/>
  <c r="G90" i="1" l="1"/>
  <c r="A91" i="1"/>
  <c r="J90" i="1"/>
  <c r="D37" i="1"/>
  <c r="E37" i="1" s="1"/>
  <c r="C38" i="1" s="1"/>
  <c r="H38" i="1"/>
  <c r="J38" i="1" s="1"/>
  <c r="A92" i="1" l="1"/>
  <c r="J91" i="1"/>
  <c r="G91" i="1"/>
  <c r="G92" i="1" s="1"/>
  <c r="D38" i="1"/>
  <c r="E38" i="1" s="1"/>
  <c r="C39" i="1" l="1"/>
  <c r="B39" i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A93" i="1"/>
  <c r="J92" i="1"/>
  <c r="I38" i="1"/>
  <c r="A94" i="1" l="1"/>
  <c r="J93" i="1"/>
  <c r="G93" i="1"/>
  <c r="H39" i="1"/>
  <c r="D39" i="1"/>
  <c r="E39" i="1" s="1"/>
  <c r="G94" i="1" l="1"/>
  <c r="A95" i="1"/>
  <c r="J94" i="1"/>
  <c r="I39" i="1"/>
  <c r="C40" i="1"/>
  <c r="A96" i="1" l="1"/>
  <c r="J95" i="1"/>
  <c r="G95" i="1"/>
  <c r="G96" i="1" s="1"/>
  <c r="H40" i="1"/>
  <c r="I40" i="1" s="1"/>
  <c r="D40" i="1"/>
  <c r="E40" i="1" s="1"/>
  <c r="C41" i="1" s="1"/>
  <c r="A97" i="1" l="1"/>
  <c r="J96" i="1"/>
  <c r="H41" i="1"/>
  <c r="I41" i="1" s="1"/>
  <c r="A98" i="1" l="1"/>
  <c r="A99" i="1" s="1"/>
  <c r="J97" i="1"/>
  <c r="G97" i="1"/>
  <c r="G98" i="1" s="1"/>
  <c r="G99" i="1" s="1"/>
  <c r="H42" i="1"/>
  <c r="I42" i="1" s="1"/>
  <c r="D41" i="1"/>
  <c r="E41" i="1" s="1"/>
  <c r="A100" i="1" l="1"/>
  <c r="J99" i="1"/>
  <c r="C42" i="1"/>
  <c r="A101" i="1" l="1"/>
  <c r="J100" i="1"/>
  <c r="G100" i="1"/>
  <c r="G101" i="1" s="1"/>
  <c r="D42" i="1"/>
  <c r="E42" i="1" s="1"/>
  <c r="H43" i="1"/>
  <c r="I43" i="1" s="1"/>
  <c r="A102" i="1" l="1"/>
  <c r="J101" i="1"/>
  <c r="C43" i="1"/>
  <c r="H44" i="1"/>
  <c r="I44" i="1" s="1"/>
  <c r="A103" i="1" l="1"/>
  <c r="J102" i="1"/>
  <c r="G102" i="1"/>
  <c r="G103" i="1" s="1"/>
  <c r="D43" i="1"/>
  <c r="E43" i="1" s="1"/>
  <c r="A104" i="1" l="1"/>
  <c r="J103" i="1"/>
  <c r="C44" i="1"/>
  <c r="A105" i="1" l="1"/>
  <c r="J104" i="1"/>
  <c r="G104" i="1"/>
  <c r="G105" i="1" s="1"/>
  <c r="H45" i="1"/>
  <c r="I45" i="1" s="1"/>
  <c r="D44" i="1"/>
  <c r="E44" i="1" s="1"/>
  <c r="A106" i="1" l="1"/>
  <c r="J105" i="1"/>
  <c r="C45" i="1"/>
  <c r="H46" i="1"/>
  <c r="I46" i="1" s="1"/>
  <c r="A107" i="1" l="1"/>
  <c r="J106" i="1"/>
  <c r="G106" i="1"/>
  <c r="G107" i="1" s="1"/>
  <c r="D45" i="1"/>
  <c r="E45" i="1" s="1"/>
  <c r="A108" i="1" l="1"/>
  <c r="J107" i="1"/>
  <c r="C46" i="1"/>
  <c r="A109" i="1" l="1"/>
  <c r="J108" i="1"/>
  <c r="G108" i="1"/>
  <c r="G109" i="1" s="1"/>
  <c r="H47" i="1"/>
  <c r="I47" i="1" s="1"/>
  <c r="D46" i="1"/>
  <c r="E46" i="1" s="1"/>
  <c r="A110" i="1" l="1"/>
  <c r="A111" i="1" s="1"/>
  <c r="J109" i="1"/>
  <c r="H48" i="1"/>
  <c r="I48" i="1" s="1"/>
  <c r="C47" i="1"/>
  <c r="A112" i="1" l="1"/>
  <c r="J111" i="1"/>
  <c r="G110" i="1"/>
  <c r="G111" i="1" s="1"/>
  <c r="G112" i="1" s="1"/>
  <c r="D47" i="1"/>
  <c r="E47" i="1" s="1"/>
  <c r="A113" i="1" l="1"/>
  <c r="J112" i="1"/>
  <c r="C48" i="1"/>
  <c r="A114" i="1" l="1"/>
  <c r="J113" i="1"/>
  <c r="G113" i="1"/>
  <c r="G114" i="1" s="1"/>
  <c r="H49" i="1"/>
  <c r="I49" i="1" s="1"/>
  <c r="D48" i="1"/>
  <c r="E48" i="1" s="1"/>
  <c r="A115" i="1" l="1"/>
  <c r="J114" i="1"/>
  <c r="C49" i="1"/>
  <c r="A116" i="1" l="1"/>
  <c r="J115" i="1"/>
  <c r="G115" i="1"/>
  <c r="G116" i="1" s="1"/>
  <c r="H50" i="1"/>
  <c r="J50" i="1" s="1"/>
  <c r="D49" i="1"/>
  <c r="E49" i="1" s="1"/>
  <c r="A117" i="1" l="1"/>
  <c r="J116" i="1"/>
  <c r="C50" i="1"/>
  <c r="A118" i="1" l="1"/>
  <c r="J117" i="1"/>
  <c r="G117" i="1"/>
  <c r="G118" i="1" s="1"/>
  <c r="I50" i="1"/>
  <c r="D50" i="1"/>
  <c r="E50" i="1" s="1"/>
  <c r="A119" i="1" l="1"/>
  <c r="J118" i="1"/>
  <c r="H51" i="1"/>
  <c r="I51" i="1" s="1"/>
  <c r="C51" i="1"/>
  <c r="A120" i="1" l="1"/>
  <c r="J119" i="1"/>
  <c r="G119" i="1"/>
  <c r="G120" i="1" s="1"/>
  <c r="H52" i="1"/>
  <c r="I52" i="1" s="1"/>
  <c r="D51" i="1"/>
  <c r="E51" i="1" s="1"/>
  <c r="C52" i="1" s="1"/>
  <c r="A121" i="1" l="1"/>
  <c r="J120" i="1"/>
  <c r="D52" i="1"/>
  <c r="E52" i="1" s="1"/>
  <c r="H53" i="1"/>
  <c r="I53" i="1" s="1"/>
  <c r="A122" i="1" l="1"/>
  <c r="A123" i="1" s="1"/>
  <c r="J121" i="1"/>
  <c r="G121" i="1"/>
  <c r="G122" i="1" s="1"/>
  <c r="G123" i="1" s="1"/>
  <c r="C53" i="1"/>
  <c r="D53" i="1" s="1"/>
  <c r="E53" i="1" s="1"/>
  <c r="H54" i="1"/>
  <c r="I54" i="1" s="1"/>
  <c r="A124" i="1" l="1"/>
  <c r="J123" i="1"/>
  <c r="H55" i="1"/>
  <c r="I55" i="1" s="1"/>
  <c r="C54" i="1"/>
  <c r="A125" i="1" l="1"/>
  <c r="J124" i="1"/>
  <c r="G124" i="1"/>
  <c r="G125" i="1" s="1"/>
  <c r="D54" i="1"/>
  <c r="E54" i="1" s="1"/>
  <c r="A126" i="1" l="1"/>
  <c r="J125" i="1"/>
  <c r="C55" i="1"/>
  <c r="A127" i="1" l="1"/>
  <c r="J126" i="1"/>
  <c r="G126" i="1"/>
  <c r="G127" i="1" s="1"/>
  <c r="H56" i="1"/>
  <c r="I56" i="1" s="1"/>
  <c r="D55" i="1"/>
  <c r="E55" i="1" s="1"/>
  <c r="A128" i="1" l="1"/>
  <c r="J127" i="1"/>
  <c r="H57" i="1"/>
  <c r="I57" i="1" s="1"/>
  <c r="C56" i="1"/>
  <c r="A129" i="1" l="1"/>
  <c r="J128" i="1"/>
  <c r="G128" i="1"/>
  <c r="G129" i="1" s="1"/>
  <c r="D56" i="1"/>
  <c r="E56" i="1" s="1"/>
  <c r="C57" i="1" s="1"/>
  <c r="H58" i="1"/>
  <c r="I58" i="1" s="1"/>
  <c r="A130" i="1" l="1"/>
  <c r="J129" i="1"/>
  <c r="D57" i="1"/>
  <c r="E57" i="1" s="1"/>
  <c r="A131" i="1" l="1"/>
  <c r="J130" i="1"/>
  <c r="G130" i="1"/>
  <c r="G131" i="1" s="1"/>
  <c r="C58" i="1"/>
  <c r="A132" i="1" l="1"/>
  <c r="J131" i="1"/>
  <c r="D58" i="1"/>
  <c r="E58" i="1" s="1"/>
  <c r="H59" i="1"/>
  <c r="I59" i="1" s="1"/>
  <c r="A133" i="1" l="1"/>
  <c r="J132" i="1"/>
  <c r="G132" i="1"/>
  <c r="G133" i="1" s="1"/>
  <c r="C59" i="1"/>
  <c r="A134" i="1" l="1"/>
  <c r="A135" i="1" s="1"/>
  <c r="J133" i="1"/>
  <c r="H60" i="1"/>
  <c r="I60" i="1" s="1"/>
  <c r="D59" i="1"/>
  <c r="E59" i="1" s="1"/>
  <c r="A136" i="1" l="1"/>
  <c r="J135" i="1"/>
  <c r="G134" i="1"/>
  <c r="G135" i="1" s="1"/>
  <c r="G136" i="1" s="1"/>
  <c r="H61" i="1"/>
  <c r="I61" i="1" s="1"/>
  <c r="C60" i="1"/>
  <c r="A137" i="1" l="1"/>
  <c r="J136" i="1"/>
  <c r="D60" i="1"/>
  <c r="E60" i="1" s="1"/>
  <c r="A138" i="1" l="1"/>
  <c r="J137" i="1"/>
  <c r="G137" i="1"/>
  <c r="G138" i="1" s="1"/>
  <c r="H62" i="1"/>
  <c r="J62" i="1" s="1"/>
  <c r="C61" i="1"/>
  <c r="A139" i="1" l="1"/>
  <c r="J138" i="1"/>
  <c r="D61" i="1"/>
  <c r="E61" i="1" s="1"/>
  <c r="C62" i="1" s="1"/>
  <c r="A140" i="1" l="1"/>
  <c r="J139" i="1"/>
  <c r="G139" i="1"/>
  <c r="G140" i="1" s="1"/>
  <c r="I62" i="1"/>
  <c r="D62" i="1"/>
  <c r="E62" i="1" s="1"/>
  <c r="C63" i="1" s="1"/>
  <c r="A141" i="1" l="1"/>
  <c r="J140" i="1"/>
  <c r="H63" i="1"/>
  <c r="I63" i="1" s="1"/>
  <c r="D63" i="1"/>
  <c r="E63" i="1" s="1"/>
  <c r="A142" i="1" l="1"/>
  <c r="J141" i="1"/>
  <c r="G141" i="1"/>
  <c r="G142" i="1" s="1"/>
  <c r="H64" i="1"/>
  <c r="I64" i="1" s="1"/>
  <c r="C64" i="1"/>
  <c r="A143" i="1" l="1"/>
  <c r="J142" i="1"/>
  <c r="D64" i="1"/>
  <c r="E64" i="1" s="1"/>
  <c r="H65" i="1"/>
  <c r="I65" i="1" s="1"/>
  <c r="A144" i="1" l="1"/>
  <c r="J143" i="1"/>
  <c r="G143" i="1"/>
  <c r="G144" i="1" s="1"/>
  <c r="C65" i="1"/>
  <c r="A145" i="1" l="1"/>
  <c r="J144" i="1"/>
  <c r="H66" i="1"/>
  <c r="I66" i="1" s="1"/>
  <c r="D65" i="1"/>
  <c r="E65" i="1" s="1"/>
  <c r="A146" i="1" l="1"/>
  <c r="A147" i="1" s="1"/>
  <c r="J145" i="1"/>
  <c r="G145" i="1"/>
  <c r="G146" i="1" s="1"/>
  <c r="G147" i="1" s="1"/>
  <c r="C66" i="1"/>
  <c r="A148" i="1" l="1"/>
  <c r="J147" i="1"/>
  <c r="D66" i="1"/>
  <c r="E66" i="1" s="1"/>
  <c r="H67" i="1"/>
  <c r="I67" i="1" s="1"/>
  <c r="A149" i="1" l="1"/>
  <c r="J148" i="1"/>
  <c r="G148" i="1"/>
  <c r="G149" i="1" s="1"/>
  <c r="C67" i="1"/>
  <c r="D67" i="1" s="1"/>
  <c r="H68" i="1"/>
  <c r="I68" i="1" s="1"/>
  <c r="A150" i="1" l="1"/>
  <c r="J149" i="1"/>
  <c r="E67" i="1"/>
  <c r="A151" i="1" l="1"/>
  <c r="J150" i="1"/>
  <c r="G150" i="1"/>
  <c r="G151" i="1" s="1"/>
  <c r="C68" i="1"/>
  <c r="A152" i="1" l="1"/>
  <c r="J151" i="1"/>
  <c r="H69" i="1"/>
  <c r="I69" i="1" s="1"/>
  <c r="D68" i="1"/>
  <c r="E68" i="1" s="1"/>
  <c r="A153" i="1" l="1"/>
  <c r="J152" i="1"/>
  <c r="G152" i="1"/>
  <c r="G153" i="1" s="1"/>
  <c r="C69" i="1"/>
  <c r="A154" i="1" l="1"/>
  <c r="J153" i="1"/>
  <c r="H70" i="1"/>
  <c r="I70" i="1" s="1"/>
  <c r="D69" i="1"/>
  <c r="E69" i="1" s="1"/>
  <c r="A155" i="1" l="1"/>
  <c r="J154" i="1"/>
  <c r="G154" i="1"/>
  <c r="G155" i="1" s="1"/>
  <c r="C70" i="1"/>
  <c r="A156" i="1" l="1"/>
  <c r="J155" i="1"/>
  <c r="H71" i="1"/>
  <c r="I71" i="1" s="1"/>
  <c r="D70" i="1"/>
  <c r="E70" i="1" s="1"/>
  <c r="A157" i="1" l="1"/>
  <c r="J156" i="1"/>
  <c r="G156" i="1"/>
  <c r="G157" i="1" s="1"/>
  <c r="C71" i="1"/>
  <c r="A158" i="1" l="1"/>
  <c r="A159" i="1" s="1"/>
  <c r="J157" i="1"/>
  <c r="H72" i="1"/>
  <c r="I72" i="1" s="1"/>
  <c r="D71" i="1"/>
  <c r="E71" i="1" s="1"/>
  <c r="A160" i="1" l="1"/>
  <c r="J159" i="1"/>
  <c r="G158" i="1"/>
  <c r="G159" i="1" s="1"/>
  <c r="G160" i="1" s="1"/>
  <c r="C72" i="1"/>
  <c r="D72" i="1" s="1"/>
  <c r="A161" i="1" l="1"/>
  <c r="J160" i="1"/>
  <c r="H73" i="1"/>
  <c r="I73" i="1" s="1"/>
  <c r="E72" i="1"/>
  <c r="A162" i="1" l="1"/>
  <c r="J161" i="1"/>
  <c r="G161" i="1"/>
  <c r="G162" i="1" s="1"/>
  <c r="C73" i="1"/>
  <c r="H74" i="1"/>
  <c r="J74" i="1" s="1"/>
  <c r="A163" i="1" l="1"/>
  <c r="J162" i="1"/>
  <c r="D73" i="1"/>
  <c r="E73" i="1" s="1"/>
  <c r="A164" i="1" l="1"/>
  <c r="J163" i="1"/>
  <c r="G163" i="1"/>
  <c r="G164" i="1" s="1"/>
  <c r="C74" i="1"/>
  <c r="A165" i="1" l="1"/>
  <c r="J164" i="1"/>
  <c r="I74" i="1"/>
  <c r="H75" i="1" s="1"/>
  <c r="D74" i="1"/>
  <c r="E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A166" i="1" l="1"/>
  <c r="J165" i="1"/>
  <c r="G165" i="1"/>
  <c r="G166" i="1" s="1"/>
  <c r="I75" i="1"/>
  <c r="C75" i="1"/>
  <c r="A167" i="1" l="1"/>
  <c r="J166" i="1"/>
  <c r="H76" i="1"/>
  <c r="I76" i="1" s="1"/>
  <c r="D75" i="1"/>
  <c r="E75" i="1" s="1"/>
  <c r="A168" i="1" l="1"/>
  <c r="J167" i="1"/>
  <c r="G167" i="1"/>
  <c r="G168" i="1" s="1"/>
  <c r="C76" i="1"/>
  <c r="A169" i="1" l="1"/>
  <c r="J168" i="1"/>
  <c r="H77" i="1"/>
  <c r="I77" i="1" s="1"/>
  <c r="D76" i="1"/>
  <c r="E76" i="1" s="1"/>
  <c r="A170" i="1" l="1"/>
  <c r="A171" i="1" s="1"/>
  <c r="J169" i="1"/>
  <c r="G169" i="1"/>
  <c r="G170" i="1" s="1"/>
  <c r="G171" i="1" s="1"/>
  <c r="C77" i="1"/>
  <c r="D77" i="1" s="1"/>
  <c r="E77" i="1" s="1"/>
  <c r="H78" i="1"/>
  <c r="I78" i="1" s="1"/>
  <c r="A172" i="1" l="1"/>
  <c r="J171" i="1"/>
  <c r="C78" i="1"/>
  <c r="A173" i="1" l="1"/>
  <c r="J172" i="1"/>
  <c r="G172" i="1"/>
  <c r="G173" i="1" s="1"/>
  <c r="H79" i="1"/>
  <c r="I79" i="1" s="1"/>
  <c r="D78" i="1"/>
  <c r="E78" i="1" s="1"/>
  <c r="A174" i="1" l="1"/>
  <c r="J173" i="1"/>
  <c r="C79" i="1"/>
  <c r="H80" i="1"/>
  <c r="I80" i="1" s="1"/>
  <c r="A175" i="1" l="1"/>
  <c r="J174" i="1"/>
  <c r="G174" i="1"/>
  <c r="G175" i="1" s="1"/>
  <c r="D79" i="1"/>
  <c r="E79" i="1" s="1"/>
  <c r="A176" i="1" l="1"/>
  <c r="J175" i="1"/>
  <c r="C80" i="1"/>
  <c r="A177" i="1" l="1"/>
  <c r="J176" i="1"/>
  <c r="G176" i="1"/>
  <c r="G177" i="1" s="1"/>
  <c r="H81" i="1"/>
  <c r="I81" i="1" s="1"/>
  <c r="D80" i="1"/>
  <c r="E80" i="1" s="1"/>
  <c r="A178" i="1" l="1"/>
  <c r="J177" i="1"/>
  <c r="C81" i="1"/>
  <c r="A179" i="1" l="1"/>
  <c r="J178" i="1"/>
  <c r="G178" i="1"/>
  <c r="G179" i="1" s="1"/>
  <c r="H82" i="1"/>
  <c r="I82" i="1" s="1"/>
  <c r="D81" i="1"/>
  <c r="E81" i="1" s="1"/>
  <c r="A180" i="1" l="1"/>
  <c r="J179" i="1"/>
  <c r="H83" i="1"/>
  <c r="I83" i="1" s="1"/>
  <c r="C82" i="1"/>
  <c r="A181" i="1" l="1"/>
  <c r="J180" i="1"/>
  <c r="G180" i="1"/>
  <c r="G181" i="1" s="1"/>
  <c r="D82" i="1"/>
  <c r="E82" i="1" s="1"/>
  <c r="A182" i="1" l="1"/>
  <c r="A183" i="1" s="1"/>
  <c r="B183" i="1" s="1"/>
  <c r="J181" i="1"/>
  <c r="C83" i="1"/>
  <c r="H84" i="1"/>
  <c r="I84" i="1" s="1"/>
  <c r="A184" i="1" l="1"/>
  <c r="B184" i="1" s="1"/>
  <c r="J183" i="1"/>
  <c r="G182" i="1"/>
  <c r="G183" i="1" s="1"/>
  <c r="G184" i="1" s="1"/>
  <c r="D83" i="1"/>
  <c r="E83" i="1" s="1"/>
  <c r="A185" i="1" l="1"/>
  <c r="B185" i="1" s="1"/>
  <c r="J184" i="1"/>
  <c r="H85" i="1"/>
  <c r="I85" i="1" s="1"/>
  <c r="C84" i="1"/>
  <c r="A186" i="1" l="1"/>
  <c r="B186" i="1" s="1"/>
  <c r="J185" i="1"/>
  <c r="G185" i="1"/>
  <c r="G186" i="1" s="1"/>
  <c r="D84" i="1"/>
  <c r="E84" i="1" s="1"/>
  <c r="A187" i="1" l="1"/>
  <c r="B187" i="1" s="1"/>
  <c r="J186" i="1"/>
  <c r="C85" i="1"/>
  <c r="A188" i="1" l="1"/>
  <c r="B188" i="1" s="1"/>
  <c r="J187" i="1"/>
  <c r="G187" i="1"/>
  <c r="G188" i="1" s="1"/>
  <c r="D85" i="1"/>
  <c r="E85" i="1" s="1"/>
  <c r="H86" i="1"/>
  <c r="J86" i="1" s="1"/>
  <c r="A189" i="1" l="1"/>
  <c r="B189" i="1" s="1"/>
  <c r="J188" i="1"/>
  <c r="C86" i="1"/>
  <c r="A190" i="1" l="1"/>
  <c r="B190" i="1" s="1"/>
  <c r="J189" i="1"/>
  <c r="G189" i="1"/>
  <c r="G190" i="1" s="1"/>
  <c r="I86" i="1"/>
  <c r="D86" i="1"/>
  <c r="E86" i="1" s="1"/>
  <c r="A191" i="1" l="1"/>
  <c r="B191" i="1" s="1"/>
  <c r="J190" i="1"/>
  <c r="H87" i="1"/>
  <c r="I87" i="1" s="1"/>
  <c r="C87" i="1"/>
  <c r="A192" i="1" l="1"/>
  <c r="B192" i="1" s="1"/>
  <c r="J191" i="1"/>
  <c r="G191" i="1"/>
  <c r="G192" i="1" s="1"/>
  <c r="H88" i="1"/>
  <c r="I88" i="1" s="1"/>
  <c r="D87" i="1"/>
  <c r="E87" i="1" s="1"/>
  <c r="A193" i="1" l="1"/>
  <c r="B193" i="1" s="1"/>
  <c r="J192" i="1"/>
  <c r="C88" i="1"/>
  <c r="H89" i="1"/>
  <c r="I89" i="1" s="1"/>
  <c r="A194" i="1" l="1"/>
  <c r="J193" i="1"/>
  <c r="G193" i="1"/>
  <c r="G194" i="1" s="1"/>
  <c r="D88" i="1"/>
  <c r="E88" i="1" s="1"/>
  <c r="A195" i="1" l="1"/>
  <c r="B195" i="1" s="1"/>
  <c r="B194" i="1"/>
  <c r="A196" i="1"/>
  <c r="B196" i="1" s="1"/>
  <c r="J195" i="1"/>
  <c r="C89" i="1"/>
  <c r="G195" i="1" l="1"/>
  <c r="A197" i="1"/>
  <c r="B197" i="1" s="1"/>
  <c r="J196" i="1"/>
  <c r="G196" i="1"/>
  <c r="G197" i="1" s="1"/>
  <c r="H90" i="1"/>
  <c r="I90" i="1" s="1"/>
  <c r="D89" i="1"/>
  <c r="E89" i="1" s="1"/>
  <c r="A198" i="1" l="1"/>
  <c r="B198" i="1" s="1"/>
  <c r="J197" i="1"/>
  <c r="C90" i="1"/>
  <c r="H91" i="1"/>
  <c r="I91" i="1" s="1"/>
  <c r="A199" i="1" l="1"/>
  <c r="B199" i="1" s="1"/>
  <c r="J198" i="1"/>
  <c r="G198" i="1"/>
  <c r="G199" i="1" s="1"/>
  <c r="D90" i="1"/>
  <c r="E90" i="1" s="1"/>
  <c r="A200" i="1" l="1"/>
  <c r="B200" i="1" s="1"/>
  <c r="J199" i="1"/>
  <c r="H92" i="1"/>
  <c r="I92" i="1" s="1"/>
  <c r="C91" i="1"/>
  <c r="A201" i="1" l="1"/>
  <c r="B201" i="1" s="1"/>
  <c r="J200" i="1"/>
  <c r="G200" i="1"/>
  <c r="G201" i="1" s="1"/>
  <c r="D91" i="1"/>
  <c r="E91" i="1" s="1"/>
  <c r="C92" i="1" s="1"/>
  <c r="A202" i="1" l="1"/>
  <c r="B202" i="1" s="1"/>
  <c r="J201" i="1"/>
  <c r="H93" i="1"/>
  <c r="I93" i="1" s="1"/>
  <c r="D92" i="1"/>
  <c r="E92" i="1" s="1"/>
  <c r="A203" i="1" l="1"/>
  <c r="B203" i="1" s="1"/>
  <c r="J202" i="1"/>
  <c r="G202" i="1"/>
  <c r="G203" i="1" s="1"/>
  <c r="C93" i="1"/>
  <c r="A204" i="1" l="1"/>
  <c r="B204" i="1" s="1"/>
  <c r="J203" i="1"/>
  <c r="H94" i="1"/>
  <c r="I94" i="1" s="1"/>
  <c r="D93" i="1"/>
  <c r="E93" i="1" s="1"/>
  <c r="A205" i="1" l="1"/>
  <c r="B205" i="1" s="1"/>
  <c r="J204" i="1"/>
  <c r="G204" i="1"/>
  <c r="G205" i="1" s="1"/>
  <c r="C94" i="1"/>
  <c r="H95" i="1"/>
  <c r="I95" i="1" s="1"/>
  <c r="A206" i="1" l="1"/>
  <c r="J205" i="1"/>
  <c r="D94" i="1"/>
  <c r="E94" i="1" s="1"/>
  <c r="A207" i="1" l="1"/>
  <c r="B207" i="1" s="1"/>
  <c r="B206" i="1"/>
  <c r="A208" i="1"/>
  <c r="B208" i="1" s="1"/>
  <c r="J207" i="1"/>
  <c r="G206" i="1"/>
  <c r="G207" i="1" s="1"/>
  <c r="G208" i="1" s="1"/>
  <c r="C95" i="1"/>
  <c r="H96" i="1"/>
  <c r="I96" i="1" s="1"/>
  <c r="A209" i="1" l="1"/>
  <c r="B209" i="1" s="1"/>
  <c r="J208" i="1"/>
  <c r="D95" i="1"/>
  <c r="E95" i="1" s="1"/>
  <c r="A210" i="1" l="1"/>
  <c r="B210" i="1" s="1"/>
  <c r="J209" i="1"/>
  <c r="G209" i="1"/>
  <c r="G210" i="1" s="1"/>
  <c r="C96" i="1"/>
  <c r="H97" i="1"/>
  <c r="I97" i="1" s="1"/>
  <c r="A211" i="1" l="1"/>
  <c r="B211" i="1" s="1"/>
  <c r="J210" i="1"/>
  <c r="D96" i="1"/>
  <c r="E96" i="1" s="1"/>
  <c r="A212" i="1" l="1"/>
  <c r="B212" i="1" s="1"/>
  <c r="J211" i="1"/>
  <c r="G211" i="1"/>
  <c r="G212" i="1" s="1"/>
  <c r="C97" i="1"/>
  <c r="H98" i="1"/>
  <c r="J98" i="1" s="1"/>
  <c r="A213" i="1" l="1"/>
  <c r="B213" i="1" s="1"/>
  <c r="J212" i="1"/>
  <c r="D97" i="1"/>
  <c r="E97" i="1" s="1"/>
  <c r="A214" i="1" l="1"/>
  <c r="B214" i="1" s="1"/>
  <c r="J213" i="1"/>
  <c r="G213" i="1"/>
  <c r="G214" i="1" s="1"/>
  <c r="C98" i="1"/>
  <c r="I98" i="1"/>
  <c r="A215" i="1" l="1"/>
  <c r="B215" i="1" s="1"/>
  <c r="J214" i="1"/>
  <c r="H99" i="1"/>
  <c r="I99" i="1" s="1"/>
  <c r="D98" i="1"/>
  <c r="E98" i="1" s="1"/>
  <c r="A216" i="1" l="1"/>
  <c r="B216" i="1" s="1"/>
  <c r="J215" i="1"/>
  <c r="G215" i="1"/>
  <c r="G216" i="1" s="1"/>
  <c r="C99" i="1"/>
  <c r="H100" i="1"/>
  <c r="I100" i="1" s="1"/>
  <c r="A217" i="1" l="1"/>
  <c r="B217" i="1" s="1"/>
  <c r="J216" i="1"/>
  <c r="D99" i="1"/>
  <c r="E99" i="1" s="1"/>
  <c r="A218" i="1" l="1"/>
  <c r="J217" i="1"/>
  <c r="G217" i="1"/>
  <c r="G218" i="1" s="1"/>
  <c r="C100" i="1"/>
  <c r="H101" i="1"/>
  <c r="I101" i="1" s="1"/>
  <c r="A219" i="1" l="1"/>
  <c r="B219" i="1" s="1"/>
  <c r="B218" i="1"/>
  <c r="A220" i="1"/>
  <c r="B220" i="1" s="1"/>
  <c r="J219" i="1"/>
  <c r="D100" i="1"/>
  <c r="E100" i="1" s="1"/>
  <c r="C101" i="1" s="1"/>
  <c r="G219" i="1" l="1"/>
  <c r="A221" i="1"/>
  <c r="B221" i="1" s="1"/>
  <c r="J220" i="1"/>
  <c r="G220" i="1"/>
  <c r="G221" i="1" s="1"/>
  <c r="H102" i="1"/>
  <c r="I102" i="1" s="1"/>
  <c r="D101" i="1"/>
  <c r="E101" i="1" s="1"/>
  <c r="A222" i="1" l="1"/>
  <c r="B222" i="1" s="1"/>
  <c r="J221" i="1"/>
  <c r="H103" i="1"/>
  <c r="I103" i="1" s="1"/>
  <c r="C102" i="1"/>
  <c r="A223" i="1" l="1"/>
  <c r="B223" i="1" s="1"/>
  <c r="J222" i="1"/>
  <c r="G222" i="1"/>
  <c r="G223" i="1" s="1"/>
  <c r="D102" i="1"/>
  <c r="E102" i="1" s="1"/>
  <c r="A224" i="1" l="1"/>
  <c r="B224" i="1" s="1"/>
  <c r="J223" i="1"/>
  <c r="H104" i="1"/>
  <c r="I104" i="1" s="1"/>
  <c r="C103" i="1"/>
  <c r="A225" i="1" l="1"/>
  <c r="B225" i="1" s="1"/>
  <c r="J224" i="1"/>
  <c r="G224" i="1"/>
  <c r="G225" i="1" s="1"/>
  <c r="D103" i="1"/>
  <c r="E103" i="1" s="1"/>
  <c r="C104" i="1" s="1"/>
  <c r="H105" i="1"/>
  <c r="I105" i="1" s="1"/>
  <c r="A226" i="1" l="1"/>
  <c r="B226" i="1" s="1"/>
  <c r="J225" i="1"/>
  <c r="D104" i="1"/>
  <c r="E104" i="1" s="1"/>
  <c r="A227" i="1" l="1"/>
  <c r="B227" i="1" s="1"/>
  <c r="J226" i="1"/>
  <c r="G226" i="1"/>
  <c r="G227" i="1" s="1"/>
  <c r="C105" i="1"/>
  <c r="H106" i="1"/>
  <c r="I106" i="1" s="1"/>
  <c r="A228" i="1" l="1"/>
  <c r="B228" i="1" s="1"/>
  <c r="J227" i="1"/>
  <c r="D105" i="1"/>
  <c r="E105" i="1" s="1"/>
  <c r="A229" i="1" l="1"/>
  <c r="B229" i="1" s="1"/>
  <c r="J228" i="1"/>
  <c r="G228" i="1"/>
  <c r="G229" i="1" s="1"/>
  <c r="C106" i="1"/>
  <c r="H107" i="1"/>
  <c r="I107" i="1" s="1"/>
  <c r="A230" i="1" l="1"/>
  <c r="J229" i="1"/>
  <c r="D106" i="1"/>
  <c r="E106" i="1" s="1"/>
  <c r="A231" i="1" l="1"/>
  <c r="B231" i="1" s="1"/>
  <c r="B230" i="1"/>
  <c r="A232" i="1"/>
  <c r="B232" i="1" s="1"/>
  <c r="J231" i="1"/>
  <c r="G230" i="1"/>
  <c r="G231" i="1" s="1"/>
  <c r="G232" i="1" s="1"/>
  <c r="C107" i="1"/>
  <c r="A233" i="1" l="1"/>
  <c r="B233" i="1" s="1"/>
  <c r="J232" i="1"/>
  <c r="H108" i="1"/>
  <c r="I108" i="1" s="1"/>
  <c r="D107" i="1"/>
  <c r="E107" i="1" s="1"/>
  <c r="A234" i="1" l="1"/>
  <c r="B234" i="1" s="1"/>
  <c r="J233" i="1"/>
  <c r="G233" i="1"/>
  <c r="G234" i="1" s="1"/>
  <c r="C108" i="1"/>
  <c r="H109" i="1"/>
  <c r="I109" i="1" s="1"/>
  <c r="A235" i="1" l="1"/>
  <c r="B235" i="1" s="1"/>
  <c r="J234" i="1"/>
  <c r="D108" i="1"/>
  <c r="E108" i="1" s="1"/>
  <c r="A236" i="1" l="1"/>
  <c r="B236" i="1" s="1"/>
  <c r="J235" i="1"/>
  <c r="G235" i="1"/>
  <c r="G236" i="1" s="1"/>
  <c r="H110" i="1"/>
  <c r="J110" i="1" s="1"/>
  <c r="C109" i="1"/>
  <c r="A237" i="1" l="1"/>
  <c r="B237" i="1" s="1"/>
  <c r="J236" i="1"/>
  <c r="D109" i="1"/>
  <c r="E109" i="1" s="1"/>
  <c r="A238" i="1" l="1"/>
  <c r="B238" i="1" s="1"/>
  <c r="J237" i="1"/>
  <c r="G237" i="1"/>
  <c r="G238" i="1" s="1"/>
  <c r="C110" i="1"/>
  <c r="A239" i="1" l="1"/>
  <c r="B239" i="1" s="1"/>
  <c r="J238" i="1"/>
  <c r="I110" i="1"/>
  <c r="D110" i="1"/>
  <c r="E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A240" i="1" l="1"/>
  <c r="B240" i="1" s="1"/>
  <c r="J239" i="1"/>
  <c r="G239" i="1"/>
  <c r="G240" i="1" s="1"/>
  <c r="H111" i="1"/>
  <c r="I111" i="1" s="1"/>
  <c r="C111" i="1"/>
  <c r="D111" i="1" s="1"/>
  <c r="E111" i="1" s="1"/>
  <c r="A241" i="1" l="1"/>
  <c r="B241" i="1" s="1"/>
  <c r="J240" i="1"/>
  <c r="H112" i="1"/>
  <c r="I112" i="1" s="1"/>
  <c r="C112" i="1"/>
  <c r="A242" i="1" l="1"/>
  <c r="J241" i="1"/>
  <c r="G241" i="1"/>
  <c r="G242" i="1" s="1"/>
  <c r="H113" i="1"/>
  <c r="I113" i="1" s="1"/>
  <c r="D112" i="1"/>
  <c r="E112" i="1" s="1"/>
  <c r="A243" i="1" l="1"/>
  <c r="B243" i="1" s="1"/>
  <c r="B242" i="1"/>
  <c r="A244" i="1"/>
  <c r="B244" i="1" s="1"/>
  <c r="J243" i="1"/>
  <c r="C113" i="1"/>
  <c r="H114" i="1"/>
  <c r="I114" i="1" s="1"/>
  <c r="G243" i="1" l="1"/>
  <c r="J244" i="1"/>
  <c r="A245" i="1"/>
  <c r="B245" i="1" s="1"/>
  <c r="G244" i="1"/>
  <c r="D113" i="1"/>
  <c r="E113" i="1" s="1"/>
  <c r="G245" i="1" l="1"/>
  <c r="J245" i="1"/>
  <c r="A246" i="1"/>
  <c r="B246" i="1" s="1"/>
  <c r="C114" i="1"/>
  <c r="J246" i="1" l="1"/>
  <c r="A247" i="1"/>
  <c r="B247" i="1" s="1"/>
  <c r="G246" i="1"/>
  <c r="H115" i="1"/>
  <c r="I115" i="1" s="1"/>
  <c r="D114" i="1"/>
  <c r="E114" i="1" s="1"/>
  <c r="J247" i="1" l="1"/>
  <c r="A248" i="1"/>
  <c r="B248" i="1" s="1"/>
  <c r="G247" i="1"/>
  <c r="H116" i="1"/>
  <c r="I116" i="1" s="1"/>
  <c r="C115" i="1"/>
  <c r="G248" i="1" l="1"/>
  <c r="J248" i="1"/>
  <c r="A249" i="1"/>
  <c r="B249" i="1" s="1"/>
  <c r="D115" i="1"/>
  <c r="E115" i="1" s="1"/>
  <c r="J249" i="1" l="1"/>
  <c r="A250" i="1"/>
  <c r="B250" i="1" s="1"/>
  <c r="G249" i="1"/>
  <c r="C116" i="1"/>
  <c r="G250" i="1" l="1"/>
  <c r="J250" i="1"/>
  <c r="A251" i="1"/>
  <c r="B251" i="1" s="1"/>
  <c r="H117" i="1"/>
  <c r="I117" i="1" s="1"/>
  <c r="D116" i="1"/>
  <c r="E116" i="1" s="1"/>
  <c r="J251" i="1" l="1"/>
  <c r="A252" i="1"/>
  <c r="B252" i="1" s="1"/>
  <c r="G251" i="1"/>
  <c r="C117" i="1"/>
  <c r="J252" i="1" l="1"/>
  <c r="A253" i="1"/>
  <c r="B253" i="1" s="1"/>
  <c r="G252" i="1"/>
  <c r="H118" i="1"/>
  <c r="I118" i="1" s="1"/>
  <c r="D117" i="1"/>
  <c r="E117" i="1" s="1"/>
  <c r="J253" i="1" l="1"/>
  <c r="A254" i="1"/>
  <c r="G253" i="1"/>
  <c r="H119" i="1"/>
  <c r="I119" i="1" s="1"/>
  <c r="C118" i="1"/>
  <c r="A255" i="1" l="1"/>
  <c r="B255" i="1" s="1"/>
  <c r="B254" i="1"/>
  <c r="G254" i="1"/>
  <c r="G255" i="1" s="1"/>
  <c r="J255" i="1"/>
  <c r="A256" i="1"/>
  <c r="B256" i="1" s="1"/>
  <c r="D118" i="1"/>
  <c r="E118" i="1" s="1"/>
  <c r="J256" i="1" l="1"/>
  <c r="A257" i="1"/>
  <c r="B257" i="1" s="1"/>
  <c r="G256" i="1"/>
  <c r="C119" i="1"/>
  <c r="G257" i="1" l="1"/>
  <c r="J257" i="1"/>
  <c r="A258" i="1"/>
  <c r="B258" i="1" s="1"/>
  <c r="D119" i="1"/>
  <c r="E119" i="1" s="1"/>
  <c r="H120" i="1"/>
  <c r="I120" i="1" s="1"/>
  <c r="J258" i="1" l="1"/>
  <c r="A259" i="1"/>
  <c r="B259" i="1" s="1"/>
  <c r="G258" i="1"/>
  <c r="C120" i="1"/>
  <c r="G259" i="1" l="1"/>
  <c r="J259" i="1"/>
  <c r="A260" i="1"/>
  <c r="B260" i="1" s="1"/>
  <c r="D120" i="1"/>
  <c r="E120" i="1" s="1"/>
  <c r="C121" i="1" s="1"/>
  <c r="H121" i="1"/>
  <c r="I121" i="1" s="1"/>
  <c r="J260" i="1" l="1"/>
  <c r="A261" i="1"/>
  <c r="B261" i="1" s="1"/>
  <c r="G260" i="1"/>
  <c r="H122" i="1"/>
  <c r="J122" i="1" s="1"/>
  <c r="D121" i="1"/>
  <c r="E121" i="1" s="1"/>
  <c r="C122" i="1" s="1"/>
  <c r="J261" i="1" l="1"/>
  <c r="A262" i="1"/>
  <c r="B262" i="1" s="1"/>
  <c r="G261" i="1"/>
  <c r="I122" i="1"/>
  <c r="H123" i="1" s="1"/>
  <c r="D122" i="1"/>
  <c r="E122" i="1" s="1"/>
  <c r="G262" i="1" l="1"/>
  <c r="J262" i="1"/>
  <c r="A263" i="1"/>
  <c r="B263" i="1" s="1"/>
  <c r="I123" i="1"/>
  <c r="H124" i="1" s="1"/>
  <c r="C123" i="1"/>
  <c r="J263" i="1" l="1"/>
  <c r="A264" i="1"/>
  <c r="B264" i="1" s="1"/>
  <c r="G263" i="1"/>
  <c r="G264" i="1" s="1"/>
  <c r="I124" i="1"/>
  <c r="D123" i="1"/>
  <c r="E123" i="1" s="1"/>
  <c r="J264" i="1" l="1"/>
  <c r="A265" i="1"/>
  <c r="B265" i="1" s="1"/>
  <c r="C124" i="1"/>
  <c r="J265" i="1" l="1"/>
  <c r="A266" i="1"/>
  <c r="G265" i="1"/>
  <c r="H125" i="1"/>
  <c r="I125" i="1" s="1"/>
  <c r="D124" i="1"/>
  <c r="E124" i="1" s="1"/>
  <c r="A267" i="1" l="1"/>
  <c r="B267" i="1" s="1"/>
  <c r="B266" i="1"/>
  <c r="G266" i="1"/>
  <c r="G267" i="1" s="1"/>
  <c r="J267" i="1"/>
  <c r="A268" i="1"/>
  <c r="B268" i="1" s="1"/>
  <c r="C125" i="1"/>
  <c r="J268" i="1" l="1"/>
  <c r="A269" i="1"/>
  <c r="B269" i="1" s="1"/>
  <c r="G268" i="1"/>
  <c r="H126" i="1"/>
  <c r="I126" i="1" s="1"/>
  <c r="D125" i="1"/>
  <c r="E125" i="1" s="1"/>
  <c r="G269" i="1" l="1"/>
  <c r="J269" i="1"/>
  <c r="A270" i="1"/>
  <c r="B270" i="1" s="1"/>
  <c r="C126" i="1"/>
  <c r="D126" i="1" s="1"/>
  <c r="E126" i="1" s="1"/>
  <c r="J270" i="1" l="1"/>
  <c r="A271" i="1"/>
  <c r="B271" i="1" s="1"/>
  <c r="G270" i="1"/>
  <c r="H127" i="1"/>
  <c r="I127" i="1" s="1"/>
  <c r="C127" i="1"/>
  <c r="G271" i="1" l="1"/>
  <c r="J271" i="1"/>
  <c r="A272" i="1"/>
  <c r="B272" i="1" s="1"/>
  <c r="H128" i="1"/>
  <c r="I128" i="1" s="1"/>
  <c r="D127" i="1"/>
  <c r="E127" i="1" s="1"/>
  <c r="J272" i="1" l="1"/>
  <c r="A273" i="1"/>
  <c r="B273" i="1" s="1"/>
  <c r="G272" i="1"/>
  <c r="C128" i="1"/>
  <c r="J273" i="1" l="1"/>
  <c r="A274" i="1"/>
  <c r="B274" i="1" s="1"/>
  <c r="G273" i="1"/>
  <c r="D128" i="1"/>
  <c r="E128" i="1" s="1"/>
  <c r="H129" i="1"/>
  <c r="I129" i="1" s="1"/>
  <c r="G274" i="1" l="1"/>
  <c r="J274" i="1"/>
  <c r="A275" i="1"/>
  <c r="B275" i="1" s="1"/>
  <c r="C129" i="1"/>
  <c r="J275" i="1" l="1"/>
  <c r="A276" i="1"/>
  <c r="B276" i="1" s="1"/>
  <c r="G275" i="1"/>
  <c r="H130" i="1"/>
  <c r="I130" i="1" s="1"/>
  <c r="D129" i="1"/>
  <c r="E129" i="1" s="1"/>
  <c r="J276" i="1" l="1"/>
  <c r="A277" i="1"/>
  <c r="B277" i="1" s="1"/>
  <c r="G276" i="1"/>
  <c r="C130" i="1"/>
  <c r="G277" i="1" l="1"/>
  <c r="J277" i="1"/>
  <c r="A278" i="1"/>
  <c r="H131" i="1"/>
  <c r="I131" i="1" s="1"/>
  <c r="D130" i="1"/>
  <c r="E130" i="1" s="1"/>
  <c r="A279" i="1" l="1"/>
  <c r="B279" i="1" s="1"/>
  <c r="B278" i="1"/>
  <c r="J279" i="1"/>
  <c r="A280" i="1"/>
  <c r="B280" i="1" s="1"/>
  <c r="G278" i="1"/>
  <c r="G279" i="1" s="1"/>
  <c r="G280" i="1" s="1"/>
  <c r="C131" i="1"/>
  <c r="J280" i="1" l="1"/>
  <c r="A281" i="1"/>
  <c r="B281" i="1" s="1"/>
  <c r="D131" i="1"/>
  <c r="E131" i="1" s="1"/>
  <c r="H132" i="1"/>
  <c r="I132" i="1" s="1"/>
  <c r="J281" i="1" l="1"/>
  <c r="A282" i="1"/>
  <c r="B282" i="1" s="1"/>
  <c r="G281" i="1"/>
  <c r="C132" i="1"/>
  <c r="D132" i="1" s="1"/>
  <c r="E132" i="1" s="1"/>
  <c r="H133" i="1"/>
  <c r="I133" i="1" s="1"/>
  <c r="G282" i="1" l="1"/>
  <c r="J282" i="1"/>
  <c r="A283" i="1"/>
  <c r="B283" i="1" s="1"/>
  <c r="C133" i="1"/>
  <c r="H134" i="1"/>
  <c r="J134" i="1" s="1"/>
  <c r="J283" i="1" l="1"/>
  <c r="A284" i="1"/>
  <c r="B284" i="1" s="1"/>
  <c r="G283" i="1"/>
  <c r="D133" i="1"/>
  <c r="E133" i="1" s="1"/>
  <c r="C134" i="1" s="1"/>
  <c r="G284" i="1" l="1"/>
  <c r="J284" i="1"/>
  <c r="A285" i="1"/>
  <c r="B285" i="1" s="1"/>
  <c r="I134" i="1"/>
  <c r="D134" i="1"/>
  <c r="E134" i="1" s="1"/>
  <c r="J285" i="1" l="1"/>
  <c r="A286" i="1"/>
  <c r="B286" i="1" s="1"/>
  <c r="G285" i="1"/>
  <c r="H135" i="1"/>
  <c r="I135" i="1" s="1"/>
  <c r="C135" i="1"/>
  <c r="J286" i="1" l="1"/>
  <c r="A287" i="1"/>
  <c r="B287" i="1" s="1"/>
  <c r="G286" i="1"/>
  <c r="H136" i="1"/>
  <c r="I136" i="1" s="1"/>
  <c r="D135" i="1"/>
  <c r="E135" i="1" s="1"/>
  <c r="C136" i="1" s="1"/>
  <c r="G287" i="1" l="1"/>
  <c r="J287" i="1"/>
  <c r="A288" i="1"/>
  <c r="B288" i="1" s="1"/>
  <c r="H137" i="1"/>
  <c r="I137" i="1" s="1"/>
  <c r="D136" i="1"/>
  <c r="E136" i="1" s="1"/>
  <c r="J288" i="1" l="1"/>
  <c r="A289" i="1"/>
  <c r="B289" i="1" s="1"/>
  <c r="G288" i="1"/>
  <c r="C137" i="1"/>
  <c r="G289" i="1" l="1"/>
  <c r="J289" i="1"/>
  <c r="A290" i="1"/>
  <c r="H138" i="1"/>
  <c r="I138" i="1" s="1"/>
  <c r="D137" i="1"/>
  <c r="E137" i="1" s="1"/>
  <c r="A291" i="1" l="1"/>
  <c r="B291" i="1" s="1"/>
  <c r="B290" i="1"/>
  <c r="G290" i="1"/>
  <c r="G291" i="1" s="1"/>
  <c r="J291" i="1"/>
  <c r="A292" i="1"/>
  <c r="B292" i="1" s="1"/>
  <c r="C138" i="1"/>
  <c r="J292" i="1" l="1"/>
  <c r="A293" i="1"/>
  <c r="B293" i="1" s="1"/>
  <c r="G292" i="1"/>
  <c r="H139" i="1"/>
  <c r="I139" i="1" s="1"/>
  <c r="D138" i="1"/>
  <c r="E138" i="1" s="1"/>
  <c r="J293" i="1" l="1"/>
  <c r="A294" i="1"/>
  <c r="B294" i="1" s="1"/>
  <c r="G293" i="1"/>
  <c r="C139" i="1"/>
  <c r="H140" i="1"/>
  <c r="I140" i="1" s="1"/>
  <c r="J294" i="1" l="1"/>
  <c r="A295" i="1"/>
  <c r="B295" i="1" s="1"/>
  <c r="G294" i="1"/>
  <c r="D139" i="1"/>
  <c r="E139" i="1" s="1"/>
  <c r="C140" i="1" s="1"/>
  <c r="J295" i="1" l="1"/>
  <c r="A296" i="1"/>
  <c r="B296" i="1" s="1"/>
  <c r="G295" i="1"/>
  <c r="D140" i="1"/>
  <c r="E140" i="1" s="1"/>
  <c r="H141" i="1"/>
  <c r="I141" i="1" s="1"/>
  <c r="J296" i="1" l="1"/>
  <c r="A297" i="1"/>
  <c r="B297" i="1" s="1"/>
  <c r="G296" i="1"/>
  <c r="C141" i="1"/>
  <c r="J297" i="1" l="1"/>
  <c r="A298" i="1"/>
  <c r="B298" i="1" s="1"/>
  <c r="G297" i="1"/>
  <c r="H142" i="1"/>
  <c r="I142" i="1" s="1"/>
  <c r="D141" i="1"/>
  <c r="E141" i="1" s="1"/>
  <c r="G298" i="1" l="1"/>
  <c r="J298" i="1"/>
  <c r="A299" i="1"/>
  <c r="B299" i="1" s="1"/>
  <c r="H143" i="1"/>
  <c r="I143" i="1" s="1"/>
  <c r="C142" i="1"/>
  <c r="J299" i="1" l="1"/>
  <c r="A300" i="1"/>
  <c r="B300" i="1" s="1"/>
  <c r="G299" i="1"/>
  <c r="D142" i="1"/>
  <c r="E142" i="1" s="1"/>
  <c r="J300" i="1" l="1"/>
  <c r="A301" i="1"/>
  <c r="B301" i="1" s="1"/>
  <c r="G300" i="1"/>
  <c r="G301" i="1" s="1"/>
  <c r="C143" i="1"/>
  <c r="J301" i="1" l="1"/>
  <c r="A302" i="1"/>
  <c r="H144" i="1"/>
  <c r="I144" i="1" s="1"/>
  <c r="D143" i="1"/>
  <c r="E143" i="1" s="1"/>
  <c r="G302" i="1" l="1"/>
  <c r="B302" i="1"/>
  <c r="C144" i="1"/>
  <c r="H145" i="1" l="1"/>
  <c r="I145" i="1" s="1"/>
  <c r="D144" i="1"/>
  <c r="E144" i="1" s="1"/>
  <c r="C145" i="1" l="1"/>
  <c r="H146" i="1" l="1"/>
  <c r="J146" i="1" s="1"/>
  <c r="D145" i="1"/>
  <c r="E145" i="1" s="1"/>
  <c r="C146" i="1" l="1"/>
  <c r="I146" i="1" l="1"/>
  <c r="D146" i="1"/>
  <c r="E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C147" i="1" l="1"/>
  <c r="H147" i="1"/>
  <c r="I147" i="1" s="1"/>
  <c r="D147" i="1" l="1"/>
  <c r="E147" i="1" s="1"/>
  <c r="C148" i="1" s="1"/>
  <c r="D148" i="1" s="1"/>
  <c r="E148" i="1" s="1"/>
  <c r="H148" i="1"/>
  <c r="I148" i="1" s="1"/>
  <c r="H149" i="1" l="1"/>
  <c r="I149" i="1" s="1"/>
  <c r="C149" i="1"/>
  <c r="H150" i="1" l="1"/>
  <c r="I150" i="1" s="1"/>
  <c r="D149" i="1"/>
  <c r="E149" i="1" s="1"/>
  <c r="C150" i="1" l="1"/>
  <c r="D150" i="1" s="1"/>
  <c r="E150" i="1" s="1"/>
  <c r="H151" i="1"/>
  <c r="I151" i="1" s="1"/>
  <c r="C151" i="1" l="1"/>
  <c r="D151" i="1" l="1"/>
  <c r="E151" i="1" s="1"/>
  <c r="H152" i="1"/>
  <c r="I152" i="1" s="1"/>
  <c r="C152" i="1" l="1"/>
  <c r="D152" i="1" s="1"/>
  <c r="E152" i="1" s="1"/>
  <c r="H153" i="1"/>
  <c r="I153" i="1" s="1"/>
  <c r="H154" i="1" l="1"/>
  <c r="I154" i="1" s="1"/>
  <c r="C153" i="1"/>
  <c r="D153" i="1" l="1"/>
  <c r="E153" i="1" s="1"/>
  <c r="H155" i="1" l="1"/>
  <c r="I155" i="1" s="1"/>
  <c r="C154" i="1"/>
  <c r="D154" i="1" l="1"/>
  <c r="E154" i="1" s="1"/>
  <c r="H156" i="1" l="1"/>
  <c r="I156" i="1" s="1"/>
  <c r="C155" i="1"/>
  <c r="D155" i="1" l="1"/>
  <c r="E155" i="1" s="1"/>
  <c r="H157" i="1" l="1"/>
  <c r="I157" i="1" s="1"/>
  <c r="C156" i="1"/>
  <c r="D156" i="1" l="1"/>
  <c r="E156" i="1" s="1"/>
  <c r="H158" i="1" l="1"/>
  <c r="J158" i="1" s="1"/>
  <c r="C157" i="1"/>
  <c r="D157" i="1" l="1"/>
  <c r="E157" i="1" s="1"/>
  <c r="C158" i="1" l="1"/>
  <c r="I158" i="1" l="1"/>
  <c r="D158" i="1"/>
  <c r="E158" i="1" s="1"/>
  <c r="H159" i="1" l="1"/>
  <c r="I159" i="1" s="1"/>
  <c r="C159" i="1"/>
  <c r="H160" i="1" l="1"/>
  <c r="I160" i="1" s="1"/>
  <c r="D159" i="1"/>
  <c r="E159" i="1" s="1"/>
  <c r="H161" i="1" l="1"/>
  <c r="I161" i="1" s="1"/>
  <c r="C160" i="1"/>
  <c r="D160" i="1" l="1"/>
  <c r="E160" i="1" s="1"/>
  <c r="H162" i="1" l="1"/>
  <c r="I162" i="1" s="1"/>
  <c r="C161" i="1"/>
  <c r="D161" i="1" l="1"/>
  <c r="E161" i="1" s="1"/>
  <c r="C162" i="1" l="1"/>
  <c r="H163" i="1"/>
  <c r="I163" i="1" s="1"/>
  <c r="D162" i="1" l="1"/>
  <c r="E162" i="1" s="1"/>
  <c r="C163" i="1" l="1"/>
  <c r="H164" i="1"/>
  <c r="I164" i="1" s="1"/>
  <c r="D163" i="1" l="1"/>
  <c r="E163" i="1" s="1"/>
  <c r="C164" i="1" l="1"/>
  <c r="H165" i="1"/>
  <c r="I165" i="1" s="1"/>
  <c r="D164" i="1" l="1"/>
  <c r="E164" i="1" s="1"/>
  <c r="C165" i="1" l="1"/>
  <c r="H166" i="1"/>
  <c r="I166" i="1" s="1"/>
  <c r="D165" i="1" l="1"/>
  <c r="E165" i="1" s="1"/>
  <c r="H167" i="1" l="1"/>
  <c r="I167" i="1" s="1"/>
  <c r="C166" i="1"/>
  <c r="D166" i="1" s="1"/>
  <c r="E166" i="1" s="1"/>
  <c r="C167" i="1" l="1"/>
  <c r="H168" i="1"/>
  <c r="I168" i="1" s="1"/>
  <c r="D167" i="1" l="1"/>
  <c r="E167" i="1" s="1"/>
  <c r="C168" i="1" l="1"/>
  <c r="H169" i="1"/>
  <c r="I169" i="1" s="1"/>
  <c r="D168" i="1" l="1"/>
  <c r="E168" i="1" s="1"/>
  <c r="C169" i="1" l="1"/>
  <c r="H170" i="1"/>
  <c r="J170" i="1" s="1"/>
  <c r="D169" i="1" l="1"/>
  <c r="E169" i="1" s="1"/>
  <c r="C170" i="1" l="1"/>
  <c r="I170" i="1" l="1"/>
  <c r="D170" i="1"/>
  <c r="E170" i="1" s="1"/>
  <c r="C171" i="1" s="1"/>
  <c r="H171" i="1" l="1"/>
  <c r="I171" i="1" s="1"/>
  <c r="D171" i="1"/>
  <c r="E171" i="1" s="1"/>
  <c r="H172" i="1" l="1"/>
  <c r="I172" i="1" s="1"/>
  <c r="C172" i="1"/>
  <c r="H173" i="1" l="1"/>
  <c r="I173" i="1" s="1"/>
  <c r="D172" i="1"/>
  <c r="E172" i="1" s="1"/>
  <c r="C173" i="1" l="1"/>
  <c r="H174" i="1"/>
  <c r="I174" i="1" s="1"/>
  <c r="D173" i="1" l="1"/>
  <c r="E173" i="1" s="1"/>
  <c r="H175" i="1" l="1"/>
  <c r="I175" i="1" s="1"/>
  <c r="C174" i="1"/>
  <c r="D174" i="1" l="1"/>
  <c r="E174" i="1" s="1"/>
  <c r="C175" i="1" l="1"/>
  <c r="H176" i="1"/>
  <c r="I176" i="1" s="1"/>
  <c r="D175" i="1" l="1"/>
  <c r="E175" i="1" s="1"/>
  <c r="C176" i="1" l="1"/>
  <c r="H177" i="1"/>
  <c r="I177" i="1" s="1"/>
  <c r="D176" i="1" l="1"/>
  <c r="E176" i="1" s="1"/>
  <c r="C177" i="1" l="1"/>
  <c r="H178" i="1"/>
  <c r="I178" i="1" s="1"/>
  <c r="D177" i="1" l="1"/>
  <c r="E177" i="1" s="1"/>
  <c r="C178" i="1" l="1"/>
  <c r="H179" i="1"/>
  <c r="I179" i="1" s="1"/>
  <c r="D178" i="1" l="1"/>
  <c r="E178" i="1" s="1"/>
  <c r="C179" i="1" l="1"/>
  <c r="H180" i="1"/>
  <c r="I180" i="1" s="1"/>
  <c r="D179" i="1" l="1"/>
  <c r="E179" i="1" s="1"/>
  <c r="C180" i="1" l="1"/>
  <c r="D180" i="1" s="1"/>
  <c r="E180" i="1" s="1"/>
  <c r="H181" i="1"/>
  <c r="I181" i="1" s="1"/>
  <c r="C181" i="1" l="1"/>
  <c r="H182" i="1"/>
  <c r="J182" i="1" s="1"/>
  <c r="D181" i="1" l="1"/>
  <c r="E181" i="1" s="1"/>
  <c r="C182" i="1" l="1"/>
  <c r="D182" i="1" l="1"/>
  <c r="E182" i="1" s="1"/>
  <c r="I182" i="1" l="1"/>
  <c r="C183" i="1"/>
  <c r="D183" i="1" l="1"/>
  <c r="E183" i="1" s="1"/>
  <c r="C184" i="1" s="1"/>
  <c r="H183" i="1"/>
  <c r="I183" i="1" s="1"/>
  <c r="H184" i="1" l="1"/>
  <c r="I184" i="1" s="1"/>
  <c r="D184" i="1"/>
  <c r="E184" i="1" s="1"/>
  <c r="H185" i="1" l="1"/>
  <c r="I185" i="1" s="1"/>
  <c r="C185" i="1"/>
  <c r="H186" i="1" l="1"/>
  <c r="I186" i="1" s="1"/>
  <c r="D185" i="1"/>
  <c r="E185" i="1" s="1"/>
  <c r="C186" i="1" l="1"/>
  <c r="H187" i="1"/>
  <c r="I187" i="1" s="1"/>
  <c r="D186" i="1" l="1"/>
  <c r="E186" i="1" s="1"/>
  <c r="C187" i="1" l="1"/>
  <c r="H188" i="1"/>
  <c r="I188" i="1" s="1"/>
  <c r="D187" i="1" l="1"/>
  <c r="E187" i="1" s="1"/>
  <c r="C188" i="1" s="1"/>
  <c r="H189" i="1" l="1"/>
  <c r="I189" i="1" s="1"/>
  <c r="D188" i="1"/>
  <c r="E188" i="1" s="1"/>
  <c r="C189" i="1" l="1"/>
  <c r="H190" i="1"/>
  <c r="I190" i="1" s="1"/>
  <c r="D189" i="1" l="1"/>
  <c r="E189" i="1" s="1"/>
  <c r="C190" i="1" l="1"/>
  <c r="H191" i="1"/>
  <c r="I191" i="1" s="1"/>
  <c r="D190" i="1" l="1"/>
  <c r="E190" i="1" s="1"/>
  <c r="C191" i="1" l="1"/>
  <c r="H192" i="1"/>
  <c r="I192" i="1" s="1"/>
  <c r="D191" i="1" l="1"/>
  <c r="E191" i="1" s="1"/>
  <c r="C192" i="1" l="1"/>
  <c r="H193" i="1"/>
  <c r="I193" i="1" s="1"/>
  <c r="D192" i="1" l="1"/>
  <c r="E192" i="1" s="1"/>
  <c r="C193" i="1" l="1"/>
  <c r="H194" i="1"/>
  <c r="J194" i="1" s="1"/>
  <c r="D193" i="1" l="1"/>
  <c r="E193" i="1" s="1"/>
  <c r="C194" i="1" l="1"/>
  <c r="I194" i="1" l="1"/>
  <c r="D194" i="1"/>
  <c r="E194" i="1" s="1"/>
  <c r="C195" i="1" l="1"/>
  <c r="H195" i="1"/>
  <c r="I195" i="1" s="1"/>
  <c r="D195" i="1" l="1"/>
  <c r="E195" i="1" s="1"/>
  <c r="C196" i="1" s="1"/>
  <c r="H196" i="1"/>
  <c r="I196" i="1" s="1"/>
  <c r="H197" i="1" l="1"/>
  <c r="I197" i="1" s="1"/>
  <c r="D196" i="1"/>
  <c r="E196" i="1" s="1"/>
  <c r="C197" i="1" l="1"/>
  <c r="H198" i="1"/>
  <c r="I198" i="1" s="1"/>
  <c r="D197" i="1" l="1"/>
  <c r="E197" i="1" s="1"/>
  <c r="C198" i="1" l="1"/>
  <c r="D198" i="1" s="1"/>
  <c r="E198" i="1" s="1"/>
  <c r="H199" i="1"/>
  <c r="I199" i="1" s="1"/>
  <c r="C199" i="1" l="1"/>
  <c r="D199" i="1" s="1"/>
  <c r="E199" i="1" s="1"/>
  <c r="H200" i="1"/>
  <c r="I200" i="1" s="1"/>
  <c r="C200" i="1" l="1"/>
  <c r="H201" i="1"/>
  <c r="I201" i="1" s="1"/>
  <c r="D200" i="1" l="1"/>
  <c r="E200" i="1" s="1"/>
  <c r="C201" i="1" l="1"/>
  <c r="H202" i="1"/>
  <c r="I202" i="1" s="1"/>
  <c r="D201" i="1" l="1"/>
  <c r="E201" i="1" s="1"/>
  <c r="H203" i="1" l="1"/>
  <c r="I203" i="1" s="1"/>
  <c r="C202" i="1"/>
  <c r="D202" i="1" l="1"/>
  <c r="E202" i="1" s="1"/>
  <c r="H204" i="1" l="1"/>
  <c r="I204" i="1" s="1"/>
  <c r="C203" i="1"/>
  <c r="D203" i="1" l="1"/>
  <c r="E203" i="1" s="1"/>
  <c r="H205" i="1" l="1"/>
  <c r="I205" i="1" s="1"/>
  <c r="C204" i="1"/>
  <c r="D204" i="1" l="1"/>
  <c r="E204" i="1" s="1"/>
  <c r="C205" i="1" l="1"/>
  <c r="H206" i="1"/>
  <c r="J206" i="1" s="1"/>
  <c r="D205" i="1" l="1"/>
  <c r="E205" i="1" s="1"/>
  <c r="C206" i="1" l="1"/>
  <c r="I206" i="1" l="1"/>
  <c r="D206" i="1"/>
  <c r="E206" i="1" s="1"/>
  <c r="H207" i="1" l="1"/>
  <c r="I207" i="1" s="1"/>
  <c r="C207" i="1"/>
  <c r="H208" i="1" l="1"/>
  <c r="I208" i="1" s="1"/>
  <c r="D207" i="1"/>
  <c r="E207" i="1" s="1"/>
  <c r="C208" i="1" l="1"/>
  <c r="H209" i="1"/>
  <c r="I209" i="1" s="1"/>
  <c r="D208" i="1" l="1"/>
  <c r="E208" i="1" s="1"/>
  <c r="C209" i="1" l="1"/>
  <c r="D209" i="1" s="1"/>
  <c r="E209" i="1" s="1"/>
  <c r="H210" i="1"/>
  <c r="I210" i="1" s="1"/>
  <c r="C210" i="1" l="1"/>
  <c r="H211" i="1"/>
  <c r="I211" i="1" s="1"/>
  <c r="D210" i="1" l="1"/>
  <c r="E210" i="1" s="1"/>
  <c r="C211" i="1" s="1"/>
  <c r="H212" i="1" l="1"/>
  <c r="I212" i="1" s="1"/>
  <c r="D211" i="1"/>
  <c r="E211" i="1" s="1"/>
  <c r="C212" i="1" l="1"/>
  <c r="H213" i="1"/>
  <c r="I213" i="1" s="1"/>
  <c r="D212" i="1" l="1"/>
  <c r="E212" i="1" s="1"/>
  <c r="H214" i="1" l="1"/>
  <c r="I214" i="1" s="1"/>
  <c r="C213" i="1"/>
  <c r="D213" i="1" l="1"/>
  <c r="E213" i="1" s="1"/>
  <c r="C214" i="1" s="1"/>
  <c r="H215" i="1"/>
  <c r="I215" i="1" s="1"/>
  <c r="D214" i="1" l="1"/>
  <c r="E214" i="1" s="1"/>
  <c r="C215" i="1" l="1"/>
  <c r="H216" i="1"/>
  <c r="I216" i="1" s="1"/>
  <c r="D215" i="1" l="1"/>
  <c r="E215" i="1" s="1"/>
  <c r="C216" i="1" l="1"/>
  <c r="H217" i="1"/>
  <c r="I217" i="1" s="1"/>
  <c r="D216" i="1" l="1"/>
  <c r="E216" i="1" s="1"/>
  <c r="C217" i="1" l="1"/>
  <c r="H218" i="1"/>
  <c r="J218" i="1" s="1"/>
  <c r="D217" i="1" l="1"/>
  <c r="E217" i="1" s="1"/>
  <c r="C218" i="1" l="1"/>
  <c r="I218" i="1" l="1"/>
  <c r="D218" i="1"/>
  <c r="E218" i="1" s="1"/>
  <c r="H219" i="1" l="1"/>
  <c r="I219" i="1" s="1"/>
  <c r="C219" i="1"/>
  <c r="H220" i="1" l="1"/>
  <c r="I220" i="1" s="1"/>
  <c r="D219" i="1"/>
  <c r="E219" i="1" s="1"/>
  <c r="C220" i="1" l="1"/>
  <c r="H221" i="1"/>
  <c r="I221" i="1" s="1"/>
  <c r="D220" i="1" l="1"/>
  <c r="E220" i="1" s="1"/>
  <c r="C221" i="1" l="1"/>
  <c r="H222" i="1"/>
  <c r="I222" i="1" s="1"/>
  <c r="D221" i="1" l="1"/>
  <c r="E221" i="1" s="1"/>
  <c r="C222" i="1" l="1"/>
  <c r="H223" i="1"/>
  <c r="I223" i="1" s="1"/>
  <c r="D222" i="1" l="1"/>
  <c r="E222" i="1" s="1"/>
  <c r="C223" i="1" l="1"/>
  <c r="D223" i="1" s="1"/>
  <c r="E223" i="1" s="1"/>
  <c r="H224" i="1"/>
  <c r="I224" i="1" s="1"/>
  <c r="C224" i="1" l="1"/>
  <c r="H225" i="1"/>
  <c r="I225" i="1" s="1"/>
  <c r="D224" i="1" l="1"/>
  <c r="E224" i="1" s="1"/>
  <c r="C225" i="1" l="1"/>
  <c r="H226" i="1"/>
  <c r="I226" i="1" s="1"/>
  <c r="D225" i="1" l="1"/>
  <c r="E225" i="1" s="1"/>
  <c r="C226" i="1" l="1"/>
  <c r="H227" i="1"/>
  <c r="I227" i="1" s="1"/>
  <c r="D226" i="1" l="1"/>
  <c r="E226" i="1" s="1"/>
  <c r="H228" i="1" l="1"/>
  <c r="I228" i="1" s="1"/>
  <c r="C227" i="1"/>
  <c r="D227" i="1" l="1"/>
  <c r="E227" i="1" s="1"/>
  <c r="H229" i="1" s="1"/>
  <c r="I229" i="1" s="1"/>
  <c r="C228" i="1" l="1"/>
  <c r="D228" i="1" l="1"/>
  <c r="E228" i="1" s="1"/>
  <c r="C229" i="1" l="1"/>
  <c r="D229" i="1" s="1"/>
  <c r="E229" i="1" s="1"/>
  <c r="H230" i="1"/>
  <c r="J230" i="1" l="1"/>
  <c r="I230" i="1" s="1"/>
  <c r="H231" i="1" s="1"/>
  <c r="I231" i="1" s="1"/>
  <c r="C230" i="1"/>
  <c r="D230" i="1" l="1"/>
  <c r="E230" i="1" s="1"/>
  <c r="C231" i="1" s="1"/>
  <c r="D231" i="1" s="1"/>
  <c r="E231" i="1" s="1"/>
  <c r="H232" i="1"/>
  <c r="I232" i="1" s="1"/>
  <c r="C232" i="1" l="1"/>
  <c r="H233" i="1"/>
  <c r="I233" i="1" s="1"/>
  <c r="D232" i="1" l="1"/>
  <c r="E232" i="1" s="1"/>
  <c r="C233" i="1" l="1"/>
  <c r="H234" i="1"/>
  <c r="I234" i="1" s="1"/>
  <c r="D233" i="1" l="1"/>
  <c r="E233" i="1" s="1"/>
  <c r="C234" i="1" l="1"/>
  <c r="H235" i="1"/>
  <c r="I235" i="1" s="1"/>
  <c r="D234" i="1" l="1"/>
  <c r="E234" i="1" s="1"/>
  <c r="H236" i="1" l="1"/>
  <c r="I236" i="1" s="1"/>
  <c r="C235" i="1"/>
  <c r="D235" i="1" l="1"/>
  <c r="E235" i="1" s="1"/>
  <c r="H237" i="1"/>
  <c r="I237" i="1" s="1"/>
  <c r="C236" i="1" l="1"/>
  <c r="D236" i="1" s="1"/>
  <c r="E236" i="1" s="1"/>
  <c r="C237" i="1" l="1"/>
  <c r="H238" i="1"/>
  <c r="I238" i="1" s="1"/>
  <c r="D237" i="1" l="1"/>
  <c r="E237" i="1" s="1"/>
  <c r="C238" i="1" l="1"/>
  <c r="H239" i="1"/>
  <c r="I239" i="1" s="1"/>
  <c r="D238" i="1" l="1"/>
  <c r="E238" i="1" s="1"/>
  <c r="C239" i="1" l="1"/>
  <c r="H240" i="1"/>
  <c r="I240" i="1" s="1"/>
  <c r="D239" i="1" l="1"/>
  <c r="E239" i="1" s="1"/>
  <c r="C240" i="1" l="1"/>
  <c r="H241" i="1"/>
  <c r="I241" i="1" s="1"/>
  <c r="D240" i="1" l="1"/>
  <c r="E240" i="1" s="1"/>
  <c r="H242" i="1" l="1"/>
  <c r="J242" i="1" s="1"/>
  <c r="C241" i="1"/>
  <c r="D241" i="1" l="1"/>
  <c r="E241" i="1" s="1"/>
  <c r="C242" i="1" s="1"/>
  <c r="I242" i="1" l="1"/>
  <c r="D242" i="1"/>
  <c r="E242" i="1" s="1"/>
  <c r="C243" i="1" l="1"/>
  <c r="H243" i="1"/>
  <c r="I243" i="1" s="1"/>
  <c r="D243" i="1" l="1"/>
  <c r="E243" i="1" s="1"/>
  <c r="C244" i="1" s="1"/>
  <c r="D244" i="1" s="1"/>
  <c r="E244" i="1" s="1"/>
  <c r="H244" i="1"/>
  <c r="I244" i="1" s="1"/>
  <c r="H245" i="1" l="1"/>
  <c r="I245" i="1" s="1"/>
  <c r="C245" i="1"/>
  <c r="H246" i="1" l="1"/>
  <c r="I246" i="1" s="1"/>
  <c r="D245" i="1"/>
  <c r="E245" i="1" s="1"/>
  <c r="H247" i="1" l="1"/>
  <c r="I247" i="1" s="1"/>
  <c r="C246" i="1"/>
  <c r="D246" i="1" l="1"/>
  <c r="E246" i="1" s="1"/>
  <c r="H248" i="1" l="1"/>
  <c r="I248" i="1" s="1"/>
  <c r="C247" i="1"/>
  <c r="D247" i="1" l="1"/>
  <c r="E247" i="1" s="1"/>
  <c r="C248" i="1" l="1"/>
  <c r="H249" i="1"/>
  <c r="I249" i="1" s="1"/>
  <c r="D248" i="1" l="1"/>
  <c r="E248" i="1" s="1"/>
  <c r="C249" i="1" l="1"/>
  <c r="H250" i="1"/>
  <c r="I250" i="1" s="1"/>
  <c r="D249" i="1" l="1"/>
  <c r="E249" i="1" s="1"/>
  <c r="C250" i="1" l="1"/>
  <c r="H251" i="1"/>
  <c r="I251" i="1" s="1"/>
  <c r="D250" i="1" l="1"/>
  <c r="E250" i="1" s="1"/>
  <c r="H252" i="1" l="1"/>
  <c r="I252" i="1" s="1"/>
  <c r="C251" i="1"/>
  <c r="D251" i="1" l="1"/>
  <c r="E251" i="1" s="1"/>
  <c r="C252" i="1" l="1"/>
  <c r="H253" i="1"/>
  <c r="I253" i="1" s="1"/>
  <c r="D252" i="1" l="1"/>
  <c r="E252" i="1" s="1"/>
  <c r="H254" i="1" l="1"/>
  <c r="J254" i="1" s="1"/>
  <c r="C253" i="1"/>
  <c r="D253" i="1" l="1"/>
  <c r="E253" i="1" s="1"/>
  <c r="C254" i="1" l="1"/>
  <c r="I254" i="1" l="1"/>
  <c r="D254" i="1"/>
  <c r="E254" i="1" s="1"/>
  <c r="H255" i="1" l="1"/>
  <c r="I255" i="1" s="1"/>
  <c r="H256" i="1" s="1"/>
  <c r="C255" i="1"/>
  <c r="I256" i="1" l="1"/>
  <c r="H257" i="1" s="1"/>
  <c r="D255" i="1"/>
  <c r="E255" i="1" s="1"/>
  <c r="C256" i="1" s="1"/>
  <c r="I257" i="1" l="1"/>
  <c r="D256" i="1"/>
  <c r="E256" i="1" s="1"/>
  <c r="H258" i="1" l="1"/>
  <c r="I258" i="1" s="1"/>
  <c r="C257" i="1"/>
  <c r="D257" i="1" l="1"/>
  <c r="E257" i="1" s="1"/>
  <c r="H259" i="1" s="1"/>
  <c r="I259" i="1" s="1"/>
  <c r="C258" i="1" l="1"/>
  <c r="D258" i="1" s="1"/>
  <c r="E258" i="1" s="1"/>
  <c r="H260" i="1" l="1"/>
  <c r="I260" i="1" s="1"/>
  <c r="C259" i="1"/>
  <c r="D259" i="1" l="1"/>
  <c r="E259" i="1" s="1"/>
  <c r="H261" i="1" l="1"/>
  <c r="I261" i="1" s="1"/>
  <c r="C260" i="1"/>
  <c r="D260" i="1" s="1"/>
  <c r="E260" i="1" s="1"/>
  <c r="C261" i="1" l="1"/>
  <c r="D261" i="1" s="1"/>
  <c r="E261" i="1" s="1"/>
  <c r="H262" i="1"/>
  <c r="I262" i="1" s="1"/>
  <c r="H263" i="1" l="1"/>
  <c r="I263" i="1" s="1"/>
  <c r="C262" i="1"/>
  <c r="D262" i="1" l="1"/>
  <c r="E262" i="1" s="1"/>
  <c r="C263" i="1" l="1"/>
  <c r="H264" i="1"/>
  <c r="I264" i="1" s="1"/>
  <c r="D263" i="1" l="1"/>
  <c r="E263" i="1" s="1"/>
  <c r="H265" i="1" l="1"/>
  <c r="I265" i="1" s="1"/>
  <c r="C264" i="1"/>
  <c r="D264" i="1" s="1"/>
  <c r="E264" i="1" s="1"/>
  <c r="C265" i="1" l="1"/>
  <c r="H266" i="1"/>
  <c r="J266" i="1" s="1"/>
  <c r="D265" i="1" l="1"/>
  <c r="E265" i="1" s="1"/>
  <c r="C266" i="1" l="1"/>
  <c r="I266" i="1"/>
  <c r="H267" i="1" l="1"/>
  <c r="I267" i="1" s="1"/>
  <c r="D266" i="1"/>
  <c r="E266" i="1" s="1"/>
  <c r="H268" i="1" l="1"/>
  <c r="I268" i="1" s="1"/>
  <c r="C267" i="1"/>
  <c r="D267" i="1" s="1"/>
  <c r="E267" i="1" s="1"/>
  <c r="C268" i="1" l="1"/>
  <c r="H269" i="1"/>
  <c r="I269" i="1" s="1"/>
  <c r="D268" i="1" l="1"/>
  <c r="E268" i="1" s="1"/>
  <c r="H270" i="1" l="1"/>
  <c r="I270" i="1" s="1"/>
  <c r="C269" i="1"/>
  <c r="D269" i="1" l="1"/>
  <c r="E269" i="1" s="1"/>
  <c r="H271" i="1" l="1"/>
  <c r="I271" i="1" s="1"/>
  <c r="C270" i="1"/>
  <c r="D270" i="1" l="1"/>
  <c r="E270" i="1" s="1"/>
  <c r="C271" i="1" l="1"/>
  <c r="D271" i="1" s="1"/>
  <c r="E271" i="1" s="1"/>
  <c r="H272" i="1"/>
  <c r="I272" i="1" s="1"/>
  <c r="H273" i="1" l="1"/>
  <c r="I273" i="1" s="1"/>
  <c r="C272" i="1"/>
  <c r="D272" i="1" l="1"/>
  <c r="E272" i="1" s="1"/>
  <c r="H274" i="1" l="1"/>
  <c r="I274" i="1" s="1"/>
  <c r="C273" i="1"/>
  <c r="D273" i="1" l="1"/>
  <c r="E273" i="1" s="1"/>
  <c r="C274" i="1" l="1"/>
  <c r="H275" i="1"/>
  <c r="I275" i="1" s="1"/>
  <c r="D274" i="1" l="1"/>
  <c r="E274" i="1" s="1"/>
  <c r="C275" i="1" l="1"/>
  <c r="D275" i="1" s="1"/>
  <c r="E275" i="1" s="1"/>
  <c r="C276" i="1" s="1"/>
  <c r="H276" i="1"/>
  <c r="I276" i="1" s="1"/>
  <c r="H277" i="1" l="1"/>
  <c r="I277" i="1" s="1"/>
  <c r="D276" i="1"/>
  <c r="E276" i="1" s="1"/>
  <c r="C277" i="1" l="1"/>
  <c r="H278" i="1"/>
  <c r="J278" i="1" s="1"/>
  <c r="D277" i="1" l="1"/>
  <c r="E277" i="1" s="1"/>
  <c r="C278" i="1" s="1"/>
  <c r="I278" i="1" l="1"/>
  <c r="H279" i="1" s="1"/>
  <c r="D278" i="1"/>
  <c r="E278" i="1" s="1"/>
  <c r="I279" i="1" l="1"/>
  <c r="H280" i="1" s="1"/>
  <c r="C279" i="1"/>
  <c r="I280" i="1" l="1"/>
  <c r="D279" i="1"/>
  <c r="E279" i="1" s="1"/>
  <c r="H281" i="1" l="1"/>
  <c r="I281" i="1" s="1"/>
  <c r="C280" i="1"/>
  <c r="D280" i="1" l="1"/>
  <c r="E280" i="1" s="1"/>
  <c r="H282" i="1" l="1"/>
  <c r="I282" i="1" s="1"/>
  <c r="C281" i="1"/>
  <c r="D281" i="1" l="1"/>
  <c r="E281" i="1" s="1"/>
  <c r="C282" i="1" l="1"/>
  <c r="H283" i="1"/>
  <c r="I283" i="1" s="1"/>
  <c r="D282" i="1" l="1"/>
  <c r="E282" i="1" s="1"/>
  <c r="C283" i="1" l="1"/>
  <c r="H284" i="1"/>
  <c r="I284" i="1" s="1"/>
  <c r="D283" i="1" l="1"/>
  <c r="E283" i="1" s="1"/>
  <c r="C284" i="1" l="1"/>
  <c r="D284" i="1" s="1"/>
  <c r="E284" i="1" s="1"/>
  <c r="H285" i="1"/>
  <c r="I285" i="1" s="1"/>
  <c r="C285" i="1" l="1"/>
  <c r="H286" i="1"/>
  <c r="I286" i="1" s="1"/>
  <c r="D285" i="1" l="1"/>
  <c r="E285" i="1" s="1"/>
  <c r="C286" i="1" l="1"/>
  <c r="D286" i="1" s="1"/>
  <c r="E286" i="1" s="1"/>
  <c r="H287" i="1"/>
  <c r="I287" i="1" s="1"/>
  <c r="C287" i="1" l="1"/>
  <c r="H288" i="1"/>
  <c r="I288" i="1" s="1"/>
  <c r="D287" i="1" l="1"/>
  <c r="E287" i="1" s="1"/>
  <c r="H289" i="1" l="1"/>
  <c r="I289" i="1" s="1"/>
  <c r="C288" i="1"/>
  <c r="D288" i="1" l="1"/>
  <c r="E288" i="1" s="1"/>
  <c r="C289" i="1" l="1"/>
  <c r="D289" i="1" s="1"/>
  <c r="E289" i="1" s="1"/>
  <c r="H290" i="1"/>
  <c r="J290" i="1" s="1"/>
  <c r="C290" i="1" l="1"/>
  <c r="I290" i="1" l="1"/>
  <c r="D290" i="1"/>
  <c r="E290" i="1" s="1"/>
  <c r="H291" i="1" l="1"/>
  <c r="I291" i="1" s="1"/>
  <c r="C291" i="1"/>
  <c r="H292" i="1" l="1"/>
  <c r="I292" i="1" s="1"/>
  <c r="D291" i="1"/>
  <c r="E291" i="1" s="1"/>
  <c r="H293" i="1" l="1"/>
  <c r="I293" i="1" s="1"/>
  <c r="C292" i="1"/>
  <c r="D292" i="1" l="1"/>
  <c r="E292" i="1" s="1"/>
  <c r="H294" i="1" l="1"/>
  <c r="I294" i="1" s="1"/>
  <c r="C293" i="1"/>
  <c r="D293" i="1" l="1"/>
  <c r="E293" i="1" s="1"/>
  <c r="C294" i="1" s="1"/>
  <c r="D294" i="1" l="1"/>
  <c r="E294" i="1" s="1"/>
  <c r="H295" i="1"/>
  <c r="I295" i="1" s="1"/>
  <c r="H296" i="1" l="1"/>
  <c r="I296" i="1" s="1"/>
  <c r="C295" i="1"/>
  <c r="D295" i="1" s="1"/>
  <c r="E295" i="1" s="1"/>
  <c r="C296" i="1" l="1"/>
  <c r="H297" i="1"/>
  <c r="I297" i="1" s="1"/>
  <c r="D296" i="1" l="1"/>
  <c r="E296" i="1" s="1"/>
  <c r="C297" i="1" l="1"/>
  <c r="H298" i="1"/>
  <c r="I298" i="1" s="1"/>
  <c r="D297" i="1" l="1"/>
  <c r="E297" i="1" s="1"/>
  <c r="H299" i="1" l="1"/>
  <c r="I299" i="1" s="1"/>
  <c r="C298" i="1"/>
  <c r="D298" i="1" l="1"/>
  <c r="E298" i="1" s="1"/>
  <c r="C299" i="1" l="1"/>
  <c r="H300" i="1"/>
  <c r="I300" i="1" s="1"/>
  <c r="D299" i="1" l="1"/>
  <c r="E299" i="1" s="1"/>
  <c r="C300" i="1" s="1"/>
  <c r="H301" i="1"/>
  <c r="I301" i="1" s="1"/>
  <c r="D300" i="1" l="1"/>
  <c r="E300" i="1" s="1"/>
  <c r="C301" i="1" l="1"/>
  <c r="H302" i="1"/>
  <c r="J302" i="1" s="1"/>
  <c r="D301" i="1" l="1"/>
  <c r="E301" i="1" s="1"/>
  <c r="I302" i="1" l="1"/>
  <c r="C302" i="1"/>
  <c r="D302" i="1" l="1"/>
  <c r="E302" i="1" s="1"/>
</calcChain>
</file>

<file path=xl/sharedStrings.xml><?xml version="1.0" encoding="utf-8"?>
<sst xmlns="http://schemas.openxmlformats.org/spreadsheetml/2006/main" count="46" uniqueCount="45">
  <si>
    <t>n</t>
  </si>
  <si>
    <t>Loan Amount:</t>
  </si>
  <si>
    <t xml:space="preserve">Mortgage Term: </t>
  </si>
  <si>
    <t>Maximum annual lump sum prepayment:</t>
  </si>
  <si>
    <t>Mortgage Amortization Period:</t>
  </si>
  <si>
    <t>Initial monthly deposit into the side fund:</t>
  </si>
  <si>
    <t>Interest earned on the side fund:</t>
  </si>
  <si>
    <t>Side Fund Balance:</t>
  </si>
  <si>
    <t>IL:</t>
  </si>
  <si>
    <t>PR:</t>
  </si>
  <si>
    <t>Balance:</t>
  </si>
  <si>
    <t>Payments:</t>
  </si>
  <si>
    <t xml:space="preserve">Mortgage Rate: </t>
  </si>
  <si>
    <t>Renewal Rate:</t>
  </si>
  <si>
    <t>Deposit:</t>
  </si>
  <si>
    <t>Interest:</t>
  </si>
  <si>
    <t>PR form SF:</t>
  </si>
  <si>
    <t>Inflation (Income increasing every year):</t>
  </si>
  <si>
    <t>Expected renewal mortgage rate (term 2):</t>
  </si>
  <si>
    <t>Expected renewal mortgage rate (term 3):</t>
  </si>
  <si>
    <t>Expected renewal mortgage rate (term 4):</t>
  </si>
  <si>
    <t>Expected renewal mortgage rate (term 6):</t>
  </si>
  <si>
    <t>Expected renewal mortgage rate (term 5):</t>
  </si>
  <si>
    <t>Expected renewal mortgage rate (term 7):</t>
  </si>
  <si>
    <t>Expected renewal mortgage rate (term 8):</t>
  </si>
  <si>
    <t>Expected renewal mortgage rate (term 9):</t>
  </si>
  <si>
    <t>Expected renewal mortgage rate (term 10):</t>
  </si>
  <si>
    <t xml:space="preserve">Mortgage Rate (term 1): </t>
  </si>
  <si>
    <t xml:space="preserve">Mortgage Rate (term 2): </t>
  </si>
  <si>
    <t xml:space="preserve">Mortgage Rate (term 3): </t>
  </si>
  <si>
    <t xml:space="preserve">Mortgage Rate (term 4): </t>
  </si>
  <si>
    <t xml:space="preserve">Mortgage Rate (term 5): </t>
  </si>
  <si>
    <t xml:space="preserve">Mortgage Rate (term 6): </t>
  </si>
  <si>
    <t xml:space="preserve">Mortgage Rate (term 7): </t>
  </si>
  <si>
    <t xml:space="preserve">Mortgage Rate (term 8): </t>
  </si>
  <si>
    <t xml:space="preserve">Mortgage Rate (term 9): </t>
  </si>
  <si>
    <t xml:space="preserve">Mortgage Rate (term 10): </t>
  </si>
  <si>
    <t>Monthly rate</t>
  </si>
  <si>
    <t>Input:</t>
  </si>
  <si>
    <t>Level Deposit:</t>
  </si>
  <si>
    <t>Target Date:</t>
  </si>
  <si>
    <t>Initial Deposit (Repaid the Loan at Target Date):</t>
  </si>
  <si>
    <t>Highest Renewal Rate:</t>
  </si>
  <si>
    <t>T</t>
  </si>
  <si>
    <t># of month the loan fully repay: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</si>
</sst>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2" borderId="3" xfId="0" applyFill="1" applyBorder="1"/>
    <xf numFmtId="0" fontId="0" fillId="2" borderId="2" xfId="0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909638</xdr:colOff>
          <xdr:row>32</xdr:row>
          <xdr:rowOff>166688</xdr:rowOff>
        </xdr:from>
        <xdr:to>
          <xdr:col>16</xdr:col>
          <xdr:colOff>419100</xdr:colOff>
          <xdr:row>33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909638</xdr:colOff>
          <xdr:row>34</xdr:row>
          <xdr:rowOff>166688</xdr:rowOff>
        </xdr:from>
        <xdr:to>
          <xdr:col>16</xdr:col>
          <xdr:colOff>428625</xdr:colOff>
          <xdr:row>35</xdr:row>
          <xdr:rowOff>176213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642938</xdr:colOff>
          <xdr:row>6</xdr:row>
          <xdr:rowOff>166688</xdr:rowOff>
        </xdr:from>
        <xdr:to>
          <xdr:col>16</xdr:col>
          <xdr:colOff>647700</xdr:colOff>
          <xdr:row>10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Renewal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633413</xdr:colOff>
          <xdr:row>4</xdr:row>
          <xdr:rowOff>147638</xdr:rowOff>
        </xdr:from>
        <xdr:to>
          <xdr:col>17</xdr:col>
          <xdr:colOff>0</xdr:colOff>
          <xdr:row>5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4763</xdr:rowOff>
        </xdr:from>
        <xdr:to>
          <xdr:col>16</xdr:col>
          <xdr:colOff>452438</xdr:colOff>
          <xdr:row>37</xdr:row>
          <xdr:rowOff>23813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02"/>
  <sheetViews>
    <sheetView tabSelected="1" topLeftCell="A4" zoomScale="82" workbookViewId="0">
      <selection activeCell="O34" sqref="O34"/>
    </sheetView>
  </sheetViews>
  <sheetFormatPr defaultRowHeight="14.25" x14ac:dyDescent="0.45"/>
  <cols>
    <col min="4" max="4" width="9.19921875" bestFit="1" customWidth="1"/>
    <col min="5" max="5" width="13.73046875" customWidth="1"/>
    <col min="6" max="6" width="12.1328125" customWidth="1"/>
    <col min="7" max="7" width="9.46484375" customWidth="1"/>
    <col min="9" max="9" width="15.46484375" customWidth="1"/>
    <col min="10" max="10" width="10.6640625" customWidth="1"/>
    <col min="14" max="14" width="38.33203125" customWidth="1"/>
    <col min="15" max="15" width="12.796875" customWidth="1"/>
  </cols>
  <sheetData>
    <row r="1" spans="1:15" x14ac:dyDescent="0.45">
      <c r="A1" t="s">
        <v>0</v>
      </c>
      <c r="B1" t="s">
        <v>11</v>
      </c>
      <c r="C1" t="s">
        <v>8</v>
      </c>
      <c r="D1" t="s">
        <v>9</v>
      </c>
      <c r="E1" t="s">
        <v>10</v>
      </c>
      <c r="F1" t="s">
        <v>13</v>
      </c>
      <c r="G1" t="s">
        <v>14</v>
      </c>
      <c r="H1" t="s">
        <v>15</v>
      </c>
      <c r="I1" t="s">
        <v>7</v>
      </c>
      <c r="J1" t="s">
        <v>16</v>
      </c>
      <c r="M1" t="s">
        <v>38</v>
      </c>
      <c r="N1" t="s">
        <v>1</v>
      </c>
      <c r="O1">
        <v>400000</v>
      </c>
    </row>
    <row r="2" spans="1:15" x14ac:dyDescent="0.45">
      <c r="A2">
        <v>0</v>
      </c>
      <c r="B2">
        <v>0</v>
      </c>
      <c r="C2">
        <v>0</v>
      </c>
      <c r="D2">
        <v>0</v>
      </c>
      <c r="E2" s="1">
        <f>O1</f>
        <v>400000</v>
      </c>
      <c r="F2" s="2">
        <v>3.7153195748071965E-3</v>
      </c>
      <c r="G2">
        <v>0</v>
      </c>
      <c r="H2">
        <v>0</v>
      </c>
      <c r="I2">
        <v>0</v>
      </c>
      <c r="J2">
        <v>0</v>
      </c>
      <c r="N2" t="s">
        <v>4</v>
      </c>
      <c r="O2">
        <v>15</v>
      </c>
    </row>
    <row r="3" spans="1:15" x14ac:dyDescent="0.45">
      <c r="A3">
        <f>IF(A2&lt;$O$2*12, A2+1, "")</f>
        <v>1</v>
      </c>
      <c r="B3" s="1">
        <f>IF(A3&gt;$O$2*12, "",IF(AND(A3&lt;=$O$2*12,$O$33="T"), $E$2*$O$21/(1-1/((1+$O$21)^($O$2*12))), IF(AND(A3&lt;=$O$2*12,MOD(A3-1,12*$O$3)&lt;&gt;0),B2,IF(AND(A3&lt;=$O$2*12,MOD(A3-1,12*$O$3)=0), E2*F2/(1-1/((1+F2)^($O$2*12-A2))),""))))</f>
        <v>3051.4723609608563</v>
      </c>
      <c r="C3" s="1">
        <f>IF(A3&lt;=$O$2*12,F2*E2,"")</f>
        <v>1486.1278299228786</v>
      </c>
      <c r="D3" s="1">
        <f>IF(A3&lt;=$O$2*12, B3-C3+J3,"")</f>
        <v>1565.3445310379777</v>
      </c>
      <c r="E3" s="1">
        <f>IF(A3&lt;=($O$2*12), E2-D3, "")</f>
        <v>398434.65546896204</v>
      </c>
      <c r="F3" s="2">
        <v>3.7153195748071965E-3</v>
      </c>
      <c r="G3" s="1">
        <v>450</v>
      </c>
      <c r="H3" s="1">
        <f>IF(A3&lt;=$O$2*12, I2*(($O$7/2+1)^(1/6)-1), "")</f>
        <v>0</v>
      </c>
      <c r="I3" s="1">
        <f>G3+I2</f>
        <v>450</v>
      </c>
      <c r="J3" s="1">
        <f>IF(A3&gt;$O$2*12, "",IF(MOD(A3, 12) &lt;&gt; 0, 0, IF(I2+H3+G3&gt;B3*12*$O$5, 12*B3*$O$5, IF(I2+H3+G3&lt;=B3*12*$O$5, I2+H3+G3, ""))))</f>
        <v>0</v>
      </c>
      <c r="N3" t="s">
        <v>2</v>
      </c>
      <c r="O3">
        <v>3</v>
      </c>
    </row>
    <row r="4" spans="1:15" x14ac:dyDescent="0.45">
      <c r="A4">
        <f t="shared" ref="A4:A67" si="0">IF(A3&lt;$O$2*12, A3+1, "")</f>
        <v>2</v>
      </c>
      <c r="B4" s="1">
        <f t="shared" ref="B4:B67" si="1">IF(A4&gt;$O$2*12, "",IF(AND(A4&lt;=$O$2*12,$O$33="T"), $E$2*$O$21/(1-1/((1+$O$21)^($O$2*12))), IF(AND(A4&lt;=$O$2*12,MOD(A4-1,12*$O$3)&lt;&gt;0),B3,IF(AND(A4&lt;=$O$2*12,MOD(A4-1,12*$O$3)=0), E3*F3/(1-1/((1+F3)^($O$2*12-A3))),""))))</f>
        <v>3051.4723609608563</v>
      </c>
      <c r="C4" s="1">
        <f t="shared" ref="C4:C67" si="2">IF(A4&lt;=$O$2*12,F3*E3,"")</f>
        <v>1480.3120747453959</v>
      </c>
      <c r="D4" s="1">
        <f t="shared" ref="D4:D67" si="3">IF(A4&lt;=$O$2*12, B4-C4+J4,"")</f>
        <v>1571.1602862154605</v>
      </c>
      <c r="E4" s="1">
        <f t="shared" ref="E4:E67" si="4">IF(A4&lt;=($O$2*12), E3-D4, "")</f>
        <v>396863.49518274656</v>
      </c>
      <c r="F4" s="2">
        <v>3.7153195748071965E-3</v>
      </c>
      <c r="G4" s="1">
        <f>IF(A4&gt;$O$2*12, "", IF(MOD(A4-1, 12) = 0, G3*(1+$O$8), G3))</f>
        <v>450</v>
      </c>
      <c r="H4" s="1">
        <f t="shared" ref="H4:H67" si="5">IF(A4&lt;=$O$2*12, I3*(($O$7/2+1)^(1/6)-1), "")</f>
        <v>2.2223799140385969</v>
      </c>
      <c r="I4" s="1">
        <f>IF(A4&gt;$O$2*12, "", IF(MOD(A4, 12) &lt;&gt; 0, I3+G4+H4, I3+G4+H4-J4))</f>
        <v>902.22237991403858</v>
      </c>
      <c r="J4" s="1">
        <f t="shared" ref="J4:J67" si="6">IF(A4&gt;$O$2*12, "",IF(MOD(A4, 12) &lt;&gt; 0, 0, IF(I3+H4+G4&gt;B4*12*$O$5, 12*B4*$O$5, IF(I3+H4+G4&lt;=B4*12*$O$5, I3+H4+G4, ""))))</f>
        <v>0</v>
      </c>
      <c r="N4" t="s">
        <v>12</v>
      </c>
      <c r="O4">
        <v>4.4999999999999998E-2</v>
      </c>
    </row>
    <row r="5" spans="1:15" x14ac:dyDescent="0.45">
      <c r="A5">
        <f t="shared" si="0"/>
        <v>3</v>
      </c>
      <c r="B5" s="1">
        <f t="shared" si="1"/>
        <v>3051.4723609608563</v>
      </c>
      <c r="C5" s="1">
        <f t="shared" si="2"/>
        <v>1474.4747121788598</v>
      </c>
      <c r="D5" s="1">
        <f t="shared" si="3"/>
        <v>1576.9976487819965</v>
      </c>
      <c r="E5" s="1">
        <f t="shared" si="4"/>
        <v>395286.49753396458</v>
      </c>
      <c r="F5" s="2">
        <v>3.7153195748071965E-3</v>
      </c>
      <c r="G5" s="1">
        <f t="shared" ref="G5:G68" si="7">IF(A5&gt;$O$2*12, "", IF(MOD(A5-1, 12) = 0, G4*(1+$O$8), G4))</f>
        <v>450</v>
      </c>
      <c r="H5" s="1">
        <f t="shared" si="5"/>
        <v>4.4557353224823544</v>
      </c>
      <c r="I5" s="1">
        <f t="shared" ref="I5:I68" si="8">IF(A5&gt;$O$2*12, "", IF(MOD(A5, 12) &lt;&gt; 0, I4+G5+H5, I4+G5+H5-J5))</f>
        <v>1356.6781152365209</v>
      </c>
      <c r="J5" s="1">
        <f t="shared" si="6"/>
        <v>0</v>
      </c>
      <c r="N5" s="3" t="s">
        <v>3</v>
      </c>
      <c r="O5" s="3">
        <v>0.2</v>
      </c>
    </row>
    <row r="6" spans="1:15" x14ac:dyDescent="0.45">
      <c r="A6">
        <f t="shared" si="0"/>
        <v>4</v>
      </c>
      <c r="B6" s="1">
        <f t="shared" si="1"/>
        <v>3051.4723609608563</v>
      </c>
      <c r="C6" s="1">
        <f t="shared" si="2"/>
        <v>1468.6156619449152</v>
      </c>
      <c r="D6" s="1">
        <f t="shared" si="3"/>
        <v>1582.8566990159411</v>
      </c>
      <c r="E6" s="1">
        <f t="shared" si="4"/>
        <v>393703.64083494863</v>
      </c>
      <c r="F6" s="2">
        <v>3.7153195748071965E-3</v>
      </c>
      <c r="G6" s="1">
        <f t="shared" si="7"/>
        <v>450</v>
      </c>
      <c r="H6" s="1">
        <f t="shared" si="5"/>
        <v>6.7001204291497443</v>
      </c>
      <c r="I6" s="1">
        <f t="shared" si="8"/>
        <v>1813.3782356656707</v>
      </c>
      <c r="J6" s="1">
        <f t="shared" si="6"/>
        <v>0</v>
      </c>
      <c r="N6" s="5" t="s">
        <v>5</v>
      </c>
      <c r="O6" s="4">
        <v>450</v>
      </c>
    </row>
    <row r="7" spans="1:15" x14ac:dyDescent="0.45">
      <c r="A7">
        <f t="shared" si="0"/>
        <v>5</v>
      </c>
      <c r="B7" s="1">
        <f t="shared" si="1"/>
        <v>3051.4723609608563</v>
      </c>
      <c r="C7" s="1">
        <f t="shared" si="2"/>
        <v>1462.7348434669466</v>
      </c>
      <c r="D7" s="1">
        <f t="shared" si="3"/>
        <v>1588.7375174939098</v>
      </c>
      <c r="E7" s="1">
        <f t="shared" si="4"/>
        <v>392114.90331745474</v>
      </c>
      <c r="F7" s="2">
        <v>3.7153195748071965E-3</v>
      </c>
      <c r="G7" s="1">
        <f t="shared" si="7"/>
        <v>450</v>
      </c>
      <c r="H7" s="1">
        <f t="shared" si="5"/>
        <v>8.9555897055514126</v>
      </c>
      <c r="I7" s="1">
        <f t="shared" si="8"/>
        <v>2272.3338253712222</v>
      </c>
      <c r="J7" s="1">
        <f t="shared" si="6"/>
        <v>0</v>
      </c>
      <c r="N7" t="s">
        <v>6</v>
      </c>
      <c r="O7">
        <v>0.06</v>
      </c>
    </row>
    <row r="8" spans="1:15" x14ac:dyDescent="0.45">
      <c r="A8">
        <f t="shared" si="0"/>
        <v>6</v>
      </c>
      <c r="B8" s="1">
        <f t="shared" si="1"/>
        <v>3051.4723609608563</v>
      </c>
      <c r="C8" s="1">
        <f t="shared" si="2"/>
        <v>1456.8321758689708</v>
      </c>
      <c r="D8" s="1">
        <f t="shared" si="3"/>
        <v>1594.6401850918855</v>
      </c>
      <c r="E8" s="1">
        <f t="shared" si="4"/>
        <v>390520.26313236286</v>
      </c>
      <c r="F8" s="2">
        <v>3.7153195748071965E-3</v>
      </c>
      <c r="G8" s="1">
        <f t="shared" si="7"/>
        <v>450</v>
      </c>
      <c r="H8" s="1">
        <f t="shared" si="5"/>
        <v>11.222197892212206</v>
      </c>
      <c r="I8" s="1">
        <f t="shared" si="8"/>
        <v>2733.5560232634343</v>
      </c>
      <c r="J8" s="1">
        <f t="shared" si="6"/>
        <v>0</v>
      </c>
      <c r="N8" t="s">
        <v>17</v>
      </c>
      <c r="O8">
        <v>0.04</v>
      </c>
    </row>
    <row r="9" spans="1:15" x14ac:dyDescent="0.45">
      <c r="A9">
        <f t="shared" si="0"/>
        <v>7</v>
      </c>
      <c r="B9" s="1">
        <f t="shared" si="1"/>
        <v>3051.4723609608563</v>
      </c>
      <c r="C9" s="1">
        <f t="shared" si="2"/>
        <v>1450.9075779745249</v>
      </c>
      <c r="D9" s="1">
        <f t="shared" si="3"/>
        <v>1600.5647829863315</v>
      </c>
      <c r="E9" s="1">
        <f t="shared" si="4"/>
        <v>388919.6983493765</v>
      </c>
      <c r="F9" s="2">
        <v>3.7153195748071965E-3</v>
      </c>
      <c r="G9" s="1">
        <f t="shared" si="7"/>
        <v>450</v>
      </c>
      <c r="H9" s="1">
        <f t="shared" si="5"/>
        <v>13.499999999999734</v>
      </c>
      <c r="I9" s="1">
        <f t="shared" si="8"/>
        <v>3197.0560232634339</v>
      </c>
      <c r="J9" s="1">
        <f t="shared" si="6"/>
        <v>0</v>
      </c>
      <c r="N9" t="s">
        <v>18</v>
      </c>
      <c r="O9">
        <v>4.4999999999999998E-2</v>
      </c>
    </row>
    <row r="10" spans="1:15" x14ac:dyDescent="0.45">
      <c r="A10">
        <f t="shared" si="0"/>
        <v>8</v>
      </c>
      <c r="B10" s="1">
        <f t="shared" si="1"/>
        <v>3051.4723609608563</v>
      </c>
      <c r="C10" s="1">
        <f t="shared" si="2"/>
        <v>1444.9609683055487</v>
      </c>
      <c r="D10" s="1">
        <f t="shared" si="3"/>
        <v>1606.5113926553076</v>
      </c>
      <c r="E10" s="1">
        <f t="shared" si="4"/>
        <v>387313.18695672118</v>
      </c>
      <c r="F10" s="2">
        <v>3.7153195748071965E-3</v>
      </c>
      <c r="G10" s="1">
        <f t="shared" si="7"/>
        <v>450</v>
      </c>
      <c r="H10" s="1">
        <f t="shared" si="5"/>
        <v>15.789051311459486</v>
      </c>
      <c r="I10" s="1">
        <f t="shared" si="8"/>
        <v>3662.8450745748933</v>
      </c>
      <c r="J10" s="1">
        <f t="shared" si="6"/>
        <v>0</v>
      </c>
      <c r="N10" t="s">
        <v>19</v>
      </c>
      <c r="O10">
        <v>4.4999999999999998E-2</v>
      </c>
    </row>
    <row r="11" spans="1:15" x14ac:dyDescent="0.45">
      <c r="A11">
        <f t="shared" si="0"/>
        <v>9</v>
      </c>
      <c r="B11" s="1">
        <f t="shared" si="1"/>
        <v>3051.4723609608563</v>
      </c>
      <c r="C11" s="1">
        <f t="shared" si="2"/>
        <v>1438.9922650812655</v>
      </c>
      <c r="D11" s="1">
        <f t="shared" si="3"/>
        <v>1612.4800958795909</v>
      </c>
      <c r="E11" s="1">
        <f t="shared" si="4"/>
        <v>385700.7068608416</v>
      </c>
      <c r="F11" s="2">
        <v>3.7153195748071965E-3</v>
      </c>
      <c r="G11" s="1">
        <f t="shared" si="7"/>
        <v>450</v>
      </c>
      <c r="H11" s="1">
        <f t="shared" si="5"/>
        <v>18.089407382156555</v>
      </c>
      <c r="I11" s="1">
        <f t="shared" si="8"/>
        <v>4130.9344819570497</v>
      </c>
      <c r="J11" s="1">
        <f t="shared" si="6"/>
        <v>0</v>
      </c>
      <c r="N11" t="s">
        <v>20</v>
      </c>
      <c r="O11">
        <v>4.4999999999999998E-2</v>
      </c>
    </row>
    <row r="12" spans="1:15" x14ac:dyDescent="0.45">
      <c r="A12">
        <f t="shared" si="0"/>
        <v>10</v>
      </c>
      <c r="B12" s="1">
        <f t="shared" si="1"/>
        <v>3051.4723609608563</v>
      </c>
      <c r="C12" s="1">
        <f t="shared" si="2"/>
        <v>1433.0013862170572</v>
      </c>
      <c r="D12" s="1">
        <f t="shared" si="3"/>
        <v>1618.4709747437992</v>
      </c>
      <c r="E12" s="1">
        <f t="shared" si="4"/>
        <v>384082.23588609783</v>
      </c>
      <c r="F12" s="2">
        <v>3.7153195748071965E-3</v>
      </c>
      <c r="G12" s="1">
        <f t="shared" si="7"/>
        <v>450</v>
      </c>
      <c r="H12" s="1">
        <f t="shared" si="5"/>
        <v>20.401124042023966</v>
      </c>
      <c r="I12" s="1">
        <f t="shared" si="8"/>
        <v>4601.3356059990738</v>
      </c>
      <c r="J12" s="1">
        <f t="shared" si="6"/>
        <v>0</v>
      </c>
      <c r="N12" t="s">
        <v>22</v>
      </c>
      <c r="O12">
        <v>4.4999999999999998E-2</v>
      </c>
    </row>
    <row r="13" spans="1:15" x14ac:dyDescent="0.45">
      <c r="A13">
        <f t="shared" si="0"/>
        <v>11</v>
      </c>
      <c r="B13" s="1">
        <f t="shared" si="1"/>
        <v>3051.4723609608563</v>
      </c>
      <c r="C13" s="1">
        <f t="shared" si="2"/>
        <v>1426.9882493233345</v>
      </c>
      <c r="D13" s="1">
        <f t="shared" si="3"/>
        <v>1624.4841116375219</v>
      </c>
      <c r="E13" s="1">
        <f t="shared" si="4"/>
        <v>382457.75177446031</v>
      </c>
      <c r="F13" s="2">
        <v>3.7153195748071965E-3</v>
      </c>
      <c r="G13" s="1">
        <f t="shared" si="7"/>
        <v>450</v>
      </c>
      <c r="H13" s="1">
        <f t="shared" si="5"/>
        <v>22.724257396717682</v>
      </c>
      <c r="I13" s="1">
        <f t="shared" si="8"/>
        <v>5074.0598633957916</v>
      </c>
      <c r="J13" s="1">
        <f t="shared" si="6"/>
        <v>0</v>
      </c>
      <c r="N13" t="s">
        <v>21</v>
      </c>
      <c r="O13">
        <v>4.4999999999999998E-2</v>
      </c>
    </row>
    <row r="14" spans="1:15" x14ac:dyDescent="0.45">
      <c r="A14">
        <f t="shared" si="0"/>
        <v>12</v>
      </c>
      <c r="B14" s="1">
        <f t="shared" si="1"/>
        <v>3051.4723609608563</v>
      </c>
      <c r="C14" s="1">
        <f t="shared" si="2"/>
        <v>1420.9527717044043</v>
      </c>
      <c r="D14" s="1">
        <f t="shared" si="3"/>
        <v>7179.6383164812214</v>
      </c>
      <c r="E14" s="1">
        <f t="shared" si="4"/>
        <v>375278.11345797911</v>
      </c>
      <c r="F14" s="2">
        <v>3.7153195748071965E-3</v>
      </c>
      <c r="G14" s="1">
        <f t="shared" si="7"/>
        <v>450</v>
      </c>
      <c r="H14" s="1">
        <f t="shared" si="5"/>
        <v>25.058863828978296</v>
      </c>
      <c r="I14" s="1">
        <f t="shared" si="8"/>
        <v>0</v>
      </c>
      <c r="J14" s="1">
        <f t="shared" si="6"/>
        <v>5549.1187272247698</v>
      </c>
      <c r="N14" t="s">
        <v>23</v>
      </c>
      <c r="O14">
        <v>4.4999999999999998E-2</v>
      </c>
    </row>
    <row r="15" spans="1:15" x14ac:dyDescent="0.45">
      <c r="A15">
        <f t="shared" si="0"/>
        <v>13</v>
      </c>
      <c r="B15" s="1">
        <f t="shared" si="1"/>
        <v>3051.4723609608563</v>
      </c>
      <c r="C15" s="1">
        <f t="shared" si="2"/>
        <v>1394.2781209271459</v>
      </c>
      <c r="D15" s="1">
        <f t="shared" si="3"/>
        <v>1657.1942400337105</v>
      </c>
      <c r="E15" s="1">
        <f t="shared" si="4"/>
        <v>373620.91921794543</v>
      </c>
      <c r="F15" s="2">
        <v>3.7153195748071965E-3</v>
      </c>
      <c r="G15" s="1">
        <f t="shared" si="7"/>
        <v>468</v>
      </c>
      <c r="H15" s="1">
        <f t="shared" si="5"/>
        <v>0</v>
      </c>
      <c r="I15" s="1">
        <f t="shared" si="8"/>
        <v>468</v>
      </c>
      <c r="J15" s="1">
        <f t="shared" si="6"/>
        <v>0</v>
      </c>
      <c r="N15" t="s">
        <v>24</v>
      </c>
      <c r="O15">
        <v>4.4999999999999998E-2</v>
      </c>
    </row>
    <row r="16" spans="1:15" x14ac:dyDescent="0.45">
      <c r="A16">
        <f t="shared" si="0"/>
        <v>14</v>
      </c>
      <c r="B16" s="1">
        <f t="shared" si="1"/>
        <v>3051.4723609608563</v>
      </c>
      <c r="C16" s="1">
        <f t="shared" si="2"/>
        <v>1388.1211147278909</v>
      </c>
      <c r="D16" s="1">
        <f t="shared" si="3"/>
        <v>1663.3512462329654</v>
      </c>
      <c r="E16" s="1">
        <f t="shared" si="4"/>
        <v>371957.56797171244</v>
      </c>
      <c r="F16" s="2">
        <v>3.7153195748071965E-3</v>
      </c>
      <c r="G16" s="1">
        <f t="shared" si="7"/>
        <v>468</v>
      </c>
      <c r="H16" s="1">
        <f t="shared" si="5"/>
        <v>2.3112751106001408</v>
      </c>
      <c r="I16" s="1">
        <f t="shared" si="8"/>
        <v>938.31127511060015</v>
      </c>
      <c r="J16" s="1">
        <f t="shared" si="6"/>
        <v>0</v>
      </c>
      <c r="N16" t="s">
        <v>25</v>
      </c>
      <c r="O16">
        <v>4.4999999999999998E-2</v>
      </c>
    </row>
    <row r="17" spans="1:16" x14ac:dyDescent="0.45">
      <c r="A17">
        <f t="shared" si="0"/>
        <v>15</v>
      </c>
      <c r="B17" s="1">
        <f t="shared" si="1"/>
        <v>3051.4723609608563</v>
      </c>
      <c r="C17" s="1">
        <f t="shared" si="2"/>
        <v>1381.9412332829816</v>
      </c>
      <c r="D17" s="1">
        <f t="shared" si="3"/>
        <v>1669.5311276778748</v>
      </c>
      <c r="E17" s="1">
        <f t="shared" si="4"/>
        <v>370288.03684403456</v>
      </c>
      <c r="F17" s="2">
        <v>3.7153195748071965E-3</v>
      </c>
      <c r="G17" s="1">
        <f t="shared" si="7"/>
        <v>468</v>
      </c>
      <c r="H17" s="1">
        <f t="shared" si="5"/>
        <v>4.6339647353816487</v>
      </c>
      <c r="I17" s="1">
        <f t="shared" si="8"/>
        <v>1410.9452398459816</v>
      </c>
      <c r="J17" s="1">
        <f t="shared" si="6"/>
        <v>0</v>
      </c>
      <c r="N17" t="s">
        <v>26</v>
      </c>
      <c r="O17">
        <v>4.4999999999999998E-2</v>
      </c>
    </row>
    <row r="18" spans="1:16" x14ac:dyDescent="0.45">
      <c r="A18">
        <f t="shared" si="0"/>
        <v>16</v>
      </c>
      <c r="B18" s="1">
        <f t="shared" si="1"/>
        <v>3051.4723609608563</v>
      </c>
      <c r="C18" s="1">
        <f t="shared" si="2"/>
        <v>1375.7383916035701</v>
      </c>
      <c r="D18" s="1">
        <f t="shared" si="3"/>
        <v>1675.7339693572862</v>
      </c>
      <c r="E18" s="1">
        <f t="shared" si="4"/>
        <v>368612.30287467729</v>
      </c>
      <c r="F18" s="2">
        <v>3.7153195748071965E-3</v>
      </c>
      <c r="G18" s="1">
        <f t="shared" si="7"/>
        <v>468</v>
      </c>
      <c r="H18" s="1">
        <f t="shared" si="5"/>
        <v>6.9681252463157337</v>
      </c>
      <c r="I18" s="1">
        <f t="shared" si="8"/>
        <v>1885.9133650922975</v>
      </c>
      <c r="J18" s="1">
        <f t="shared" si="6"/>
        <v>0</v>
      </c>
    </row>
    <row r="19" spans="1:16" x14ac:dyDescent="0.45">
      <c r="A19">
        <f t="shared" si="0"/>
        <v>17</v>
      </c>
      <c r="B19" s="1">
        <f t="shared" si="1"/>
        <v>3051.4723609608563</v>
      </c>
      <c r="C19" s="1">
        <f t="shared" si="2"/>
        <v>1369.5125043850476</v>
      </c>
      <c r="D19" s="1">
        <f t="shared" si="3"/>
        <v>1681.9598565758088</v>
      </c>
      <c r="E19" s="1">
        <f t="shared" si="4"/>
        <v>366930.34301810147</v>
      </c>
      <c r="F19" s="2">
        <v>3.7153195748071965E-3</v>
      </c>
      <c r="G19" s="1">
        <f t="shared" si="7"/>
        <v>468</v>
      </c>
      <c r="H19" s="1">
        <f t="shared" si="5"/>
        <v>9.3138132937734692</v>
      </c>
      <c r="I19" s="1">
        <f t="shared" si="8"/>
        <v>2363.227178386071</v>
      </c>
      <c r="J19" s="1">
        <f t="shared" si="6"/>
        <v>0</v>
      </c>
    </row>
    <row r="20" spans="1:16" x14ac:dyDescent="0.45">
      <c r="A20">
        <f t="shared" si="0"/>
        <v>18</v>
      </c>
      <c r="B20" s="1">
        <f t="shared" si="1"/>
        <v>3051.4723609608563</v>
      </c>
      <c r="C20" s="1">
        <f t="shared" si="2"/>
        <v>1363.2634860058715</v>
      </c>
      <c r="D20" s="1">
        <f t="shared" si="3"/>
        <v>1688.2088749549848</v>
      </c>
      <c r="E20" s="1">
        <f t="shared" si="4"/>
        <v>365242.13414314651</v>
      </c>
      <c r="F20" s="2">
        <v>3.7153195748071965E-3</v>
      </c>
      <c r="G20" s="1">
        <f t="shared" si="7"/>
        <v>468</v>
      </c>
      <c r="H20" s="1">
        <f t="shared" si="5"/>
        <v>11.671085807900694</v>
      </c>
      <c r="I20" s="1">
        <f t="shared" si="8"/>
        <v>2842.898264193972</v>
      </c>
      <c r="J20" s="1">
        <f t="shared" si="6"/>
        <v>0</v>
      </c>
      <c r="N20" t="s">
        <v>37</v>
      </c>
    </row>
    <row r="21" spans="1:16" x14ac:dyDescent="0.45">
      <c r="A21">
        <f t="shared" si="0"/>
        <v>19</v>
      </c>
      <c r="B21" s="1">
        <f t="shared" si="1"/>
        <v>3051.4723609608563</v>
      </c>
      <c r="C21" s="1">
        <f t="shared" si="2"/>
        <v>1356.9912505263881</v>
      </c>
      <c r="D21" s="1">
        <f t="shared" si="3"/>
        <v>1694.4811104344683</v>
      </c>
      <c r="E21" s="1">
        <f t="shared" si="4"/>
        <v>363547.65303271206</v>
      </c>
      <c r="F21" s="2">
        <v>3.7153195748071965E-3</v>
      </c>
      <c r="G21" s="1">
        <f t="shared" si="7"/>
        <v>468</v>
      </c>
      <c r="H21" s="1">
        <f t="shared" si="5"/>
        <v>14.039999999999724</v>
      </c>
      <c r="I21" s="1">
        <f t="shared" si="8"/>
        <v>3324.9382641939715</v>
      </c>
      <c r="J21" s="1">
        <f t="shared" si="6"/>
        <v>0</v>
      </c>
      <c r="N21" t="s">
        <v>27</v>
      </c>
      <c r="O21">
        <f>(O4/2+1)^(1/6)-1</f>
        <v>3.7153195748071965E-3</v>
      </c>
    </row>
    <row r="22" spans="1:16" x14ac:dyDescent="0.45">
      <c r="A22">
        <f t="shared" si="0"/>
        <v>20</v>
      </c>
      <c r="B22" s="1">
        <f t="shared" si="1"/>
        <v>3051.4723609608563</v>
      </c>
      <c r="C22" s="1">
        <f t="shared" si="2"/>
        <v>1350.6957116876499</v>
      </c>
      <c r="D22" s="1">
        <f t="shared" si="3"/>
        <v>1700.7766492732064</v>
      </c>
      <c r="E22" s="1">
        <f t="shared" si="4"/>
        <v>361846.87638343882</v>
      </c>
      <c r="F22" s="2">
        <v>3.7153195748071965E-3</v>
      </c>
      <c r="G22" s="1">
        <f t="shared" si="7"/>
        <v>468</v>
      </c>
      <c r="H22" s="1">
        <f t="shared" si="5"/>
        <v>16.420613363917866</v>
      </c>
      <c r="I22" s="1">
        <f t="shared" si="8"/>
        <v>3809.3588775578892</v>
      </c>
      <c r="J22" s="1">
        <f t="shared" si="6"/>
        <v>0</v>
      </c>
      <c r="N22" t="s">
        <v>28</v>
      </c>
      <c r="O22">
        <f>(O9/2+1)^(1/6)-1</f>
        <v>3.7153195748071965E-3</v>
      </c>
    </row>
    <row r="23" spans="1:16" x14ac:dyDescent="0.45">
      <c r="A23">
        <f t="shared" si="0"/>
        <v>21</v>
      </c>
      <c r="B23" s="1">
        <f t="shared" si="1"/>
        <v>3051.4723609608563</v>
      </c>
      <c r="C23" s="1">
        <f t="shared" si="2"/>
        <v>1344.3767829102301</v>
      </c>
      <c r="D23" s="1">
        <f t="shared" si="3"/>
        <v>1707.0955780506263</v>
      </c>
      <c r="E23" s="1">
        <f t="shared" si="4"/>
        <v>360139.78080538817</v>
      </c>
      <c r="F23" s="2">
        <v>3.7153195748071965E-3</v>
      </c>
      <c r="G23" s="1">
        <f t="shared" si="7"/>
        <v>468</v>
      </c>
      <c r="H23" s="1">
        <f t="shared" si="5"/>
        <v>18.812983677442816</v>
      </c>
      <c r="I23" s="1">
        <f t="shared" si="8"/>
        <v>4296.1718612353316</v>
      </c>
      <c r="J23" s="1">
        <f t="shared" si="6"/>
        <v>0</v>
      </c>
      <c r="N23" t="s">
        <v>29</v>
      </c>
      <c r="O23">
        <f t="shared" ref="O23:O30" si="9">(O10/2+1)^(1/6)-1</f>
        <v>3.7153195748071965E-3</v>
      </c>
    </row>
    <row r="24" spans="1:16" x14ac:dyDescent="0.45">
      <c r="A24">
        <f t="shared" si="0"/>
        <v>22</v>
      </c>
      <c r="B24" s="1">
        <f t="shared" si="1"/>
        <v>3051.4723609608563</v>
      </c>
      <c r="C24" s="1">
        <f t="shared" si="2"/>
        <v>1338.0343772930319</v>
      </c>
      <c r="D24" s="1">
        <f t="shared" si="3"/>
        <v>1713.4379836678245</v>
      </c>
      <c r="E24" s="1">
        <f t="shared" si="4"/>
        <v>358426.34282172035</v>
      </c>
      <c r="F24" s="2">
        <v>3.7153195748071965E-3</v>
      </c>
      <c r="G24" s="1">
        <f t="shared" si="7"/>
        <v>468</v>
      </c>
      <c r="H24" s="1">
        <f t="shared" si="5"/>
        <v>21.217169003704921</v>
      </c>
      <c r="I24" s="1">
        <f t="shared" si="8"/>
        <v>4785.3890302390364</v>
      </c>
      <c r="J24" s="1">
        <f t="shared" si="6"/>
        <v>0</v>
      </c>
      <c r="N24" t="s">
        <v>30</v>
      </c>
      <c r="O24">
        <f t="shared" si="9"/>
        <v>3.7153195748071965E-3</v>
      </c>
    </row>
    <row r="25" spans="1:16" x14ac:dyDescent="0.45">
      <c r="A25">
        <f t="shared" si="0"/>
        <v>23</v>
      </c>
      <c r="B25" s="1">
        <f t="shared" si="1"/>
        <v>3051.4723609608563</v>
      </c>
      <c r="C25" s="1">
        <f t="shared" si="2"/>
        <v>1331.6684076120926</v>
      </c>
      <c r="D25" s="1">
        <f t="shared" si="3"/>
        <v>1719.8039533487638</v>
      </c>
      <c r="E25" s="1">
        <f t="shared" si="4"/>
        <v>356706.53886837157</v>
      </c>
      <c r="F25" s="2">
        <v>3.7153195748071965E-3</v>
      </c>
      <c r="G25" s="1">
        <f t="shared" si="7"/>
        <v>468</v>
      </c>
      <c r="H25" s="1">
        <f t="shared" si="5"/>
        <v>23.633227692586388</v>
      </c>
      <c r="I25" s="1">
        <f t="shared" si="8"/>
        <v>5277.0222579316232</v>
      </c>
      <c r="J25" s="1">
        <f t="shared" si="6"/>
        <v>0</v>
      </c>
      <c r="N25" t="s">
        <v>31</v>
      </c>
      <c r="O25">
        <f t="shared" si="9"/>
        <v>3.7153195748071965E-3</v>
      </c>
    </row>
    <row r="26" spans="1:16" x14ac:dyDescent="0.45">
      <c r="A26">
        <f t="shared" si="0"/>
        <v>24</v>
      </c>
      <c r="B26" s="1">
        <f t="shared" si="1"/>
        <v>3051.4723609608563</v>
      </c>
      <c r="C26" s="1">
        <f t="shared" si="2"/>
        <v>1325.2787863193851</v>
      </c>
      <c r="D26" s="1">
        <f t="shared" si="3"/>
        <v>7497.277050955232</v>
      </c>
      <c r="E26" s="1">
        <f t="shared" si="4"/>
        <v>349209.26181741635</v>
      </c>
      <c r="F26" s="2">
        <v>3.7153195748071965E-3</v>
      </c>
      <c r="G26" s="1">
        <f t="shared" si="7"/>
        <v>468</v>
      </c>
      <c r="H26" s="1">
        <f t="shared" si="5"/>
        <v>26.061218382137429</v>
      </c>
      <c r="I26" s="1">
        <f t="shared" si="8"/>
        <v>0</v>
      </c>
      <c r="J26" s="1">
        <f t="shared" si="6"/>
        <v>5771.0834763137609</v>
      </c>
      <c r="N26" t="s">
        <v>32</v>
      </c>
      <c r="O26">
        <f t="shared" si="9"/>
        <v>3.7153195748071965E-3</v>
      </c>
    </row>
    <row r="27" spans="1:16" x14ac:dyDescent="0.45">
      <c r="A27">
        <f t="shared" si="0"/>
        <v>25</v>
      </c>
      <c r="B27" s="1">
        <f t="shared" si="1"/>
        <v>3051.4723609608563</v>
      </c>
      <c r="C27" s="1">
        <f t="shared" si="2"/>
        <v>1297.4240061342182</v>
      </c>
      <c r="D27" s="1">
        <f t="shared" si="3"/>
        <v>1754.0483548266382</v>
      </c>
      <c r="E27" s="1">
        <f t="shared" si="4"/>
        <v>347455.21346258972</v>
      </c>
      <c r="F27" s="2">
        <v>3.7153195748071965E-3</v>
      </c>
      <c r="G27" s="1">
        <f t="shared" si="7"/>
        <v>486.72</v>
      </c>
      <c r="H27" s="1">
        <f t="shared" si="5"/>
        <v>0</v>
      </c>
      <c r="I27" s="1">
        <f t="shared" si="8"/>
        <v>486.72</v>
      </c>
      <c r="J27" s="1">
        <f t="shared" si="6"/>
        <v>0</v>
      </c>
      <c r="N27" t="s">
        <v>33</v>
      </c>
      <c r="O27">
        <f t="shared" si="9"/>
        <v>3.7153195748071965E-3</v>
      </c>
    </row>
    <row r="28" spans="1:16" x14ac:dyDescent="0.45">
      <c r="A28">
        <f t="shared" si="0"/>
        <v>26</v>
      </c>
      <c r="B28" s="1">
        <f t="shared" si="1"/>
        <v>3051.4723609608563</v>
      </c>
      <c r="C28" s="1">
        <f t="shared" si="2"/>
        <v>1290.9071559463725</v>
      </c>
      <c r="D28" s="1">
        <f t="shared" si="3"/>
        <v>1760.5652050144838</v>
      </c>
      <c r="E28" s="1">
        <f t="shared" si="4"/>
        <v>345694.64825757523</v>
      </c>
      <c r="F28" s="2">
        <v>3.7153195748071965E-3</v>
      </c>
      <c r="G28" s="1">
        <f t="shared" si="7"/>
        <v>486.72</v>
      </c>
      <c r="H28" s="1">
        <f t="shared" si="5"/>
        <v>2.4037261150241465</v>
      </c>
      <c r="I28" s="1">
        <f t="shared" si="8"/>
        <v>975.8437261150242</v>
      </c>
      <c r="J28" s="1">
        <f t="shared" si="6"/>
        <v>0</v>
      </c>
      <c r="N28" t="s">
        <v>34</v>
      </c>
      <c r="O28">
        <f t="shared" si="9"/>
        <v>3.7153195748071965E-3</v>
      </c>
    </row>
    <row r="29" spans="1:16" x14ac:dyDescent="0.45">
      <c r="A29">
        <f t="shared" si="0"/>
        <v>27</v>
      </c>
      <c r="B29" s="1">
        <f t="shared" si="1"/>
        <v>3051.4723609608563</v>
      </c>
      <c r="C29" s="1">
        <f t="shared" si="2"/>
        <v>1284.3660935774578</v>
      </c>
      <c r="D29" s="1">
        <f t="shared" si="3"/>
        <v>1767.1062673833985</v>
      </c>
      <c r="E29" s="1">
        <f t="shared" si="4"/>
        <v>343927.54199019185</v>
      </c>
      <c r="F29" s="2">
        <v>3.7153195748071965E-3</v>
      </c>
      <c r="G29" s="1">
        <f t="shared" si="7"/>
        <v>486.72</v>
      </c>
      <c r="H29" s="1">
        <f t="shared" si="5"/>
        <v>4.8193233247969145</v>
      </c>
      <c r="I29" s="1">
        <f t="shared" si="8"/>
        <v>1467.383049439821</v>
      </c>
      <c r="J29" s="1">
        <f t="shared" si="6"/>
        <v>0</v>
      </c>
      <c r="N29" t="s">
        <v>35</v>
      </c>
      <c r="O29">
        <f t="shared" si="9"/>
        <v>3.7153195748071965E-3</v>
      </c>
    </row>
    <row r="30" spans="1:16" x14ac:dyDescent="0.45">
      <c r="A30">
        <f t="shared" si="0"/>
        <v>28</v>
      </c>
      <c r="B30" s="1">
        <f t="shared" si="1"/>
        <v>3051.4723609608563</v>
      </c>
      <c r="C30" s="1">
        <f t="shared" si="2"/>
        <v>1277.8007290714838</v>
      </c>
      <c r="D30" s="1">
        <f t="shared" si="3"/>
        <v>1773.6716318893725</v>
      </c>
      <c r="E30" s="1">
        <f t="shared" si="4"/>
        <v>342153.87035830249</v>
      </c>
      <c r="F30" s="2">
        <v>3.7153195748071965E-3</v>
      </c>
      <c r="G30" s="1">
        <f t="shared" si="7"/>
        <v>486.72</v>
      </c>
      <c r="H30" s="1">
        <f t="shared" si="5"/>
        <v>7.2468502561683632</v>
      </c>
      <c r="I30" s="1">
        <f t="shared" si="8"/>
        <v>1961.3498996959893</v>
      </c>
      <c r="J30" s="1">
        <f t="shared" si="6"/>
        <v>0</v>
      </c>
      <c r="N30" t="s">
        <v>36</v>
      </c>
      <c r="O30">
        <f t="shared" si="9"/>
        <v>3.7153195748071965E-3</v>
      </c>
      <c r="P30" s="6"/>
    </row>
    <row r="31" spans="1:16" x14ac:dyDescent="0.45">
      <c r="A31">
        <f t="shared" si="0"/>
        <v>29</v>
      </c>
      <c r="B31" s="1">
        <f t="shared" si="1"/>
        <v>3051.4723609608563</v>
      </c>
      <c r="C31" s="1">
        <f t="shared" si="2"/>
        <v>1271.2109721382451</v>
      </c>
      <c r="D31" s="1">
        <f t="shared" si="3"/>
        <v>1780.2613888226113</v>
      </c>
      <c r="E31" s="1">
        <f t="shared" si="4"/>
        <v>340373.60896947986</v>
      </c>
      <c r="F31" s="2">
        <v>3.7153195748071965E-3</v>
      </c>
      <c r="G31" s="1">
        <f t="shared" si="7"/>
        <v>486.72</v>
      </c>
      <c r="H31" s="1">
        <f t="shared" si="5"/>
        <v>9.6863658255244083</v>
      </c>
      <c r="I31" s="1">
        <f t="shared" si="8"/>
        <v>2457.7562655215133</v>
      </c>
      <c r="J31" s="1">
        <f t="shared" si="6"/>
        <v>0</v>
      </c>
      <c r="N31" t="s">
        <v>6</v>
      </c>
      <c r="O31">
        <f>(O7/2+1)^(1/6)-1</f>
        <v>4.938622031196882E-3</v>
      </c>
    </row>
    <row r="32" spans="1:16" x14ac:dyDescent="0.45">
      <c r="A32">
        <f t="shared" si="0"/>
        <v>30</v>
      </c>
      <c r="B32" s="1">
        <f t="shared" si="1"/>
        <v>3051.4723609608563</v>
      </c>
      <c r="C32" s="1">
        <f t="shared" si="2"/>
        <v>1264.5967321520789</v>
      </c>
      <c r="D32" s="1">
        <f t="shared" si="3"/>
        <v>1786.8756288087775</v>
      </c>
      <c r="E32" s="1">
        <f t="shared" si="4"/>
        <v>338586.73334067105</v>
      </c>
      <c r="F32" s="2">
        <v>3.7153195748071965E-3</v>
      </c>
      <c r="G32" s="1">
        <f t="shared" si="7"/>
        <v>486.72</v>
      </c>
      <c r="H32" s="1">
        <f t="shared" si="5"/>
        <v>12.137929240216719</v>
      </c>
      <c r="I32" s="1">
        <f t="shared" si="8"/>
        <v>2956.6141947617302</v>
      </c>
      <c r="J32" s="1">
        <f t="shared" si="6"/>
        <v>0</v>
      </c>
    </row>
    <row r="33" spans="1:15" x14ac:dyDescent="0.45">
      <c r="A33">
        <f t="shared" si="0"/>
        <v>31</v>
      </c>
      <c r="B33" s="1">
        <f t="shared" si="1"/>
        <v>3051.4723609608563</v>
      </c>
      <c r="C33" s="1">
        <f t="shared" si="2"/>
        <v>1257.9579181506197</v>
      </c>
      <c r="D33" s="1">
        <f t="shared" si="3"/>
        <v>1793.5144428102367</v>
      </c>
      <c r="E33" s="1">
        <f t="shared" si="4"/>
        <v>336793.21889786079</v>
      </c>
      <c r="F33" s="2">
        <v>3.7153195748071965E-3</v>
      </c>
      <c r="G33" s="1">
        <f t="shared" si="7"/>
        <v>486.72</v>
      </c>
      <c r="H33" s="1">
        <f t="shared" si="5"/>
        <v>14.60159999999971</v>
      </c>
      <c r="I33" s="1">
        <f t="shared" si="8"/>
        <v>3457.9357947617295</v>
      </c>
      <c r="J33" s="1">
        <f t="shared" si="6"/>
        <v>0</v>
      </c>
      <c r="N33" t="s">
        <v>39</v>
      </c>
      <c r="O33" t="s">
        <v>43</v>
      </c>
    </row>
    <row r="34" spans="1:15" x14ac:dyDescent="0.45">
      <c r="A34">
        <f t="shared" si="0"/>
        <v>32</v>
      </c>
      <c r="B34" s="1">
        <f t="shared" si="1"/>
        <v>3051.4723609608563</v>
      </c>
      <c r="C34" s="1">
        <f t="shared" si="2"/>
        <v>1251.2944388335472</v>
      </c>
      <c r="D34" s="1">
        <f t="shared" si="3"/>
        <v>1800.1779221273091</v>
      </c>
      <c r="E34" s="1">
        <f t="shared" si="4"/>
        <v>334993.04097573349</v>
      </c>
      <c r="F34" s="2">
        <v>3.7153195748071965E-3</v>
      </c>
      <c r="G34" s="1">
        <f t="shared" si="7"/>
        <v>486.72</v>
      </c>
      <c r="H34" s="1">
        <f t="shared" si="5"/>
        <v>17.077437898474578</v>
      </c>
      <c r="I34" s="1">
        <f t="shared" si="8"/>
        <v>3961.7332326602041</v>
      </c>
      <c r="J34" s="1">
        <f t="shared" si="6"/>
        <v>0</v>
      </c>
      <c r="N34" t="s">
        <v>40</v>
      </c>
      <c r="O34">
        <v>160</v>
      </c>
    </row>
    <row r="35" spans="1:15" x14ac:dyDescent="0.45">
      <c r="A35">
        <f t="shared" si="0"/>
        <v>33</v>
      </c>
      <c r="B35" s="1">
        <f t="shared" si="1"/>
        <v>3051.4723609608563</v>
      </c>
      <c r="C35" s="1">
        <f t="shared" si="2"/>
        <v>1244.6062025613319</v>
      </c>
      <c r="D35" s="1">
        <f t="shared" si="3"/>
        <v>1806.8661583995245</v>
      </c>
      <c r="E35" s="1">
        <f t="shared" si="4"/>
        <v>333186.17481733399</v>
      </c>
      <c r="F35" s="2">
        <v>3.7153195748071965E-3</v>
      </c>
      <c r="G35" s="1">
        <f t="shared" si="7"/>
        <v>486.72</v>
      </c>
      <c r="H35" s="1">
        <f t="shared" si="5"/>
        <v>19.565503024540526</v>
      </c>
      <c r="I35" s="1">
        <f t="shared" si="8"/>
        <v>4468.0187356847446</v>
      </c>
      <c r="J35" s="1">
        <f t="shared" si="6"/>
        <v>0</v>
      </c>
      <c r="N35" t="s">
        <v>41</v>
      </c>
      <c r="O35">
        <v>218.31634622537877</v>
      </c>
    </row>
    <row r="36" spans="1:15" x14ac:dyDescent="0.45">
      <c r="A36">
        <f t="shared" si="0"/>
        <v>34</v>
      </c>
      <c r="B36" s="1">
        <f t="shared" si="1"/>
        <v>3051.4723609608563</v>
      </c>
      <c r="C36" s="1">
        <f t="shared" si="2"/>
        <v>1237.8931173539736</v>
      </c>
      <c r="D36" s="1">
        <f t="shared" si="3"/>
        <v>1813.5792436068828</v>
      </c>
      <c r="E36" s="1">
        <f t="shared" si="4"/>
        <v>331372.5955737271</v>
      </c>
      <c r="F36" s="2">
        <v>3.7153195748071965E-3</v>
      </c>
      <c r="G36" s="1">
        <f t="shared" si="7"/>
        <v>486.72</v>
      </c>
      <c r="H36" s="1">
        <f t="shared" si="5"/>
        <v>22.065855763853119</v>
      </c>
      <c r="I36" s="1">
        <f t="shared" si="8"/>
        <v>4976.8045914485983</v>
      </c>
      <c r="J36" s="1">
        <f t="shared" si="6"/>
        <v>0</v>
      </c>
      <c r="N36" t="s">
        <v>42</v>
      </c>
      <c r="O36">
        <v>8.8829152432204239E-2</v>
      </c>
    </row>
    <row r="37" spans="1:15" x14ac:dyDescent="0.45">
      <c r="A37">
        <f t="shared" si="0"/>
        <v>35</v>
      </c>
      <c r="B37" s="1">
        <f t="shared" si="1"/>
        <v>3051.4723609608563</v>
      </c>
      <c r="C37" s="1">
        <f t="shared" si="2"/>
        <v>1231.1550908897368</v>
      </c>
      <c r="D37" s="1">
        <f t="shared" si="3"/>
        <v>1820.3172700711195</v>
      </c>
      <c r="E37" s="1">
        <f t="shared" si="4"/>
        <v>329552.27830365597</v>
      </c>
      <c r="F37" s="2">
        <v>3.7153195748071965E-3</v>
      </c>
      <c r="G37" s="1">
        <f t="shared" si="7"/>
        <v>486.72</v>
      </c>
      <c r="H37" s="1">
        <f t="shared" si="5"/>
        <v>24.578556800289846</v>
      </c>
      <c r="I37" s="1">
        <f t="shared" si="8"/>
        <v>5488.1031482488888</v>
      </c>
      <c r="J37" s="1">
        <f t="shared" si="6"/>
        <v>0</v>
      </c>
      <c r="N37" t="s">
        <v>44</v>
      </c>
      <c r="O37">
        <v>145</v>
      </c>
    </row>
    <row r="38" spans="1:15" x14ac:dyDescent="0.45">
      <c r="A38">
        <f t="shared" si="0"/>
        <v>36</v>
      </c>
      <c r="B38" s="1">
        <f t="shared" si="1"/>
        <v>3051.4723609608563</v>
      </c>
      <c r="C38" s="1">
        <f t="shared" si="2"/>
        <v>1224.3920305038821</v>
      </c>
      <c r="D38" s="1">
        <f t="shared" si="3"/>
        <v>7829.0071458232869</v>
      </c>
      <c r="E38" s="1">
        <f t="shared" si="4"/>
        <v>321723.2711578327</v>
      </c>
      <c r="F38" s="2">
        <v>7.2690445485932287E-3</v>
      </c>
      <c r="G38" s="1">
        <f t="shared" si="7"/>
        <v>486.72</v>
      </c>
      <c r="H38" s="1">
        <f t="shared" si="5"/>
        <v>27.10366711742293</v>
      </c>
      <c r="I38" s="1">
        <f t="shared" si="8"/>
        <v>0</v>
      </c>
      <c r="J38" s="1">
        <f t="shared" si="6"/>
        <v>6001.9268153663124</v>
      </c>
    </row>
    <row r="39" spans="1:15" x14ac:dyDescent="0.45">
      <c r="A39">
        <f t="shared" si="0"/>
        <v>37</v>
      </c>
      <c r="B39" s="1">
        <f t="shared" si="1"/>
        <v>3051.4723609608563</v>
      </c>
      <c r="C39" s="1">
        <f t="shared" si="2"/>
        <v>2338.6207903654249</v>
      </c>
      <c r="D39" s="1">
        <f t="shared" si="3"/>
        <v>712.85157059543144</v>
      </c>
      <c r="E39" s="1">
        <f t="shared" si="4"/>
        <v>321010.41958723729</v>
      </c>
      <c r="F39" s="2">
        <v>7.2690445485932287E-3</v>
      </c>
      <c r="G39" s="1">
        <f t="shared" si="7"/>
        <v>506.18880000000007</v>
      </c>
      <c r="H39" s="1">
        <f t="shared" si="5"/>
        <v>0</v>
      </c>
      <c r="I39" s="1">
        <f t="shared" si="8"/>
        <v>506.18880000000007</v>
      </c>
      <c r="J39" s="1">
        <f t="shared" si="6"/>
        <v>0</v>
      </c>
    </row>
    <row r="40" spans="1:15" x14ac:dyDescent="0.45">
      <c r="A40">
        <f t="shared" si="0"/>
        <v>38</v>
      </c>
      <c r="B40" s="1">
        <f t="shared" si="1"/>
        <v>3051.4723609608563</v>
      </c>
      <c r="C40" s="1">
        <f t="shared" si="2"/>
        <v>2333.4390405422323</v>
      </c>
      <c r="D40" s="1">
        <f t="shared" si="3"/>
        <v>718.03332041862404</v>
      </c>
      <c r="E40" s="1">
        <f t="shared" si="4"/>
        <v>320292.38626681868</v>
      </c>
      <c r="F40" s="2">
        <v>7.2690445485932287E-3</v>
      </c>
      <c r="G40" s="1">
        <f t="shared" si="7"/>
        <v>506.18880000000007</v>
      </c>
      <c r="H40" s="1">
        <f t="shared" si="5"/>
        <v>2.4998751596251125</v>
      </c>
      <c r="I40" s="1">
        <f t="shared" si="8"/>
        <v>1014.8774751596253</v>
      </c>
      <c r="J40" s="1">
        <f t="shared" si="6"/>
        <v>0</v>
      </c>
    </row>
    <row r="41" spans="1:15" x14ac:dyDescent="0.45">
      <c r="A41">
        <f t="shared" si="0"/>
        <v>39</v>
      </c>
      <c r="B41" s="1">
        <f t="shared" si="1"/>
        <v>3051.4723609608563</v>
      </c>
      <c r="C41" s="1">
        <f t="shared" si="2"/>
        <v>2328.2196243487351</v>
      </c>
      <c r="D41" s="1">
        <f t="shared" si="3"/>
        <v>723.25273661212123</v>
      </c>
      <c r="E41" s="1">
        <f t="shared" si="4"/>
        <v>319569.13353020657</v>
      </c>
      <c r="F41" s="2">
        <v>7.2690445485932287E-3</v>
      </c>
      <c r="G41" s="1">
        <f t="shared" si="7"/>
        <v>506.18880000000007</v>
      </c>
      <c r="H41" s="1">
        <f t="shared" si="5"/>
        <v>5.0120962577887918</v>
      </c>
      <c r="I41" s="1">
        <f t="shared" si="8"/>
        <v>1526.078371417414</v>
      </c>
      <c r="J41" s="1">
        <f t="shared" si="6"/>
        <v>0</v>
      </c>
    </row>
    <row r="42" spans="1:15" x14ac:dyDescent="0.45">
      <c r="A42">
        <f t="shared" si="0"/>
        <v>40</v>
      </c>
      <c r="B42" s="1">
        <f t="shared" si="1"/>
        <v>3051.4723609608563</v>
      </c>
      <c r="C42" s="1">
        <f t="shared" si="2"/>
        <v>2322.9622679864096</v>
      </c>
      <c r="D42" s="1">
        <f t="shared" si="3"/>
        <v>728.51009297444671</v>
      </c>
      <c r="E42" s="1">
        <f t="shared" si="4"/>
        <v>318840.62343723211</v>
      </c>
      <c r="F42" s="2">
        <v>7.2690445485932287E-3</v>
      </c>
      <c r="G42" s="1">
        <f t="shared" si="7"/>
        <v>506.18880000000007</v>
      </c>
      <c r="H42" s="1">
        <f t="shared" si="5"/>
        <v>7.5367242664150993</v>
      </c>
      <c r="I42" s="1">
        <f t="shared" si="8"/>
        <v>2039.8038956838293</v>
      </c>
      <c r="J42" s="1">
        <f t="shared" si="6"/>
        <v>0</v>
      </c>
    </row>
    <row r="43" spans="1:15" x14ac:dyDescent="0.45">
      <c r="A43">
        <f t="shared" si="0"/>
        <v>41</v>
      </c>
      <c r="B43" s="1">
        <f t="shared" si="1"/>
        <v>3051.4723609608563</v>
      </c>
      <c r="C43" s="1">
        <f t="shared" si="2"/>
        <v>2317.6666956664785</v>
      </c>
      <c r="D43" s="1">
        <f t="shared" si="3"/>
        <v>733.80566529437783</v>
      </c>
      <c r="E43" s="1">
        <f t="shared" si="4"/>
        <v>318106.8177719377</v>
      </c>
      <c r="F43" s="2">
        <v>7.2690445485932287E-3</v>
      </c>
      <c r="G43" s="1">
        <f t="shared" si="7"/>
        <v>506.18880000000007</v>
      </c>
      <c r="H43" s="1">
        <f t="shared" si="5"/>
        <v>10.073820458545386</v>
      </c>
      <c r="I43" s="1">
        <f t="shared" si="8"/>
        <v>2556.0665161423749</v>
      </c>
      <c r="J43" s="1">
        <f t="shared" si="6"/>
        <v>0</v>
      </c>
    </row>
    <row r="44" spans="1:15" x14ac:dyDescent="0.45">
      <c r="A44">
        <f t="shared" si="0"/>
        <v>42</v>
      </c>
      <c r="B44" s="1">
        <f t="shared" si="1"/>
        <v>3051.4723609608563</v>
      </c>
      <c r="C44" s="1">
        <f t="shared" si="2"/>
        <v>2312.3326295954434</v>
      </c>
      <c r="D44" s="1">
        <f t="shared" si="3"/>
        <v>739.1397313654129</v>
      </c>
      <c r="E44" s="1">
        <f t="shared" si="4"/>
        <v>317367.67804057227</v>
      </c>
      <c r="F44" s="2">
        <v>7.2690445485932287E-3</v>
      </c>
      <c r="G44" s="1">
        <f t="shared" si="7"/>
        <v>506.18880000000007</v>
      </c>
      <c r="H44" s="1">
        <f t="shared" si="5"/>
        <v>12.623446409825393</v>
      </c>
      <c r="I44" s="1">
        <f t="shared" si="8"/>
        <v>3074.8787625522</v>
      </c>
      <c r="J44" s="1">
        <f t="shared" si="6"/>
        <v>0</v>
      </c>
    </row>
    <row r="45" spans="1:15" x14ac:dyDescent="0.45">
      <c r="A45">
        <f t="shared" si="0"/>
        <v>43</v>
      </c>
      <c r="B45" s="1">
        <f t="shared" si="1"/>
        <v>3051.4723609608563</v>
      </c>
      <c r="C45" s="1">
        <f t="shared" si="2"/>
        <v>2306.9597899605128</v>
      </c>
      <c r="D45" s="1">
        <f t="shared" si="3"/>
        <v>744.51257100034354</v>
      </c>
      <c r="E45" s="1">
        <f t="shared" si="4"/>
        <v>316623.16546957195</v>
      </c>
      <c r="F45" s="2">
        <v>7.2690445485932287E-3</v>
      </c>
      <c r="G45" s="1">
        <f t="shared" si="7"/>
        <v>506.18880000000007</v>
      </c>
      <c r="H45" s="1">
        <f t="shared" si="5"/>
        <v>15.185663999999701</v>
      </c>
      <c r="I45" s="1">
        <f t="shared" si="8"/>
        <v>3596.2532265521995</v>
      </c>
      <c r="J45" s="1">
        <f t="shared" si="6"/>
        <v>0</v>
      </c>
    </row>
    <row r="46" spans="1:15" x14ac:dyDescent="0.45">
      <c r="A46">
        <f t="shared" si="0"/>
        <v>44</v>
      </c>
      <c r="B46" s="1">
        <f t="shared" si="1"/>
        <v>3051.4723609608563</v>
      </c>
      <c r="C46" s="1">
        <f t="shared" si="2"/>
        <v>2301.5478949149237</v>
      </c>
      <c r="D46" s="1">
        <f t="shared" si="3"/>
        <v>749.9244660459326</v>
      </c>
      <c r="E46" s="1">
        <f t="shared" si="4"/>
        <v>315873.24100352603</v>
      </c>
      <c r="F46" s="2">
        <v>7.2690445485932287E-3</v>
      </c>
      <c r="G46" s="1">
        <f t="shared" si="7"/>
        <v>506.18880000000007</v>
      </c>
      <c r="H46" s="1">
        <f t="shared" si="5"/>
        <v>17.760535414413564</v>
      </c>
      <c r="I46" s="1">
        <f t="shared" si="8"/>
        <v>4120.2025619666128</v>
      </c>
      <c r="J46" s="1">
        <f t="shared" si="6"/>
        <v>0</v>
      </c>
    </row>
    <row r="47" spans="1:15" x14ac:dyDescent="0.45">
      <c r="A47">
        <f t="shared" si="0"/>
        <v>45</v>
      </c>
      <c r="B47" s="1">
        <f t="shared" si="1"/>
        <v>3051.4723609608563</v>
      </c>
      <c r="C47" s="1">
        <f t="shared" si="2"/>
        <v>2296.0966605631561</v>
      </c>
      <c r="D47" s="1">
        <f t="shared" si="3"/>
        <v>755.37570039770026</v>
      </c>
      <c r="E47" s="1">
        <f t="shared" si="4"/>
        <v>315117.86530312832</v>
      </c>
      <c r="F47" s="2">
        <v>7.2690445485932287E-3</v>
      </c>
      <c r="G47" s="1">
        <f t="shared" si="7"/>
        <v>506.18880000000007</v>
      </c>
      <c r="H47" s="1">
        <f t="shared" si="5"/>
        <v>20.348123145522152</v>
      </c>
      <c r="I47" s="1">
        <f t="shared" si="8"/>
        <v>4646.7394851121353</v>
      </c>
      <c r="J47" s="1">
        <f t="shared" si="6"/>
        <v>0</v>
      </c>
    </row>
    <row r="48" spans="1:15" x14ac:dyDescent="0.45">
      <c r="A48">
        <f t="shared" si="0"/>
        <v>46</v>
      </c>
      <c r="B48" s="1">
        <f t="shared" si="1"/>
        <v>3051.4723609608563</v>
      </c>
      <c r="C48" s="1">
        <f t="shared" si="2"/>
        <v>2290.6058009460403</v>
      </c>
      <c r="D48" s="1">
        <f t="shared" si="3"/>
        <v>760.86656001481606</v>
      </c>
      <c r="E48" s="1">
        <f t="shared" si="4"/>
        <v>314356.99874311348</v>
      </c>
      <c r="F48" s="2">
        <v>7.2690445485932287E-3</v>
      </c>
      <c r="G48" s="1">
        <f t="shared" si="7"/>
        <v>506.18880000000007</v>
      </c>
      <c r="H48" s="1">
        <f t="shared" si="5"/>
        <v>22.948489994407247</v>
      </c>
      <c r="I48" s="1">
        <f t="shared" si="8"/>
        <v>5175.8767751065425</v>
      </c>
      <c r="J48" s="1">
        <f t="shared" si="6"/>
        <v>0</v>
      </c>
    </row>
    <row r="49" spans="1:10" x14ac:dyDescent="0.45">
      <c r="A49">
        <f t="shared" si="0"/>
        <v>47</v>
      </c>
      <c r="B49" s="1">
        <f t="shared" si="1"/>
        <v>3051.4723609608563</v>
      </c>
      <c r="C49" s="1">
        <f t="shared" si="2"/>
        <v>2285.0750280257575</v>
      </c>
      <c r="D49" s="1">
        <f t="shared" si="3"/>
        <v>766.3973329350988</v>
      </c>
      <c r="E49" s="1">
        <f t="shared" si="4"/>
        <v>313590.60141017841</v>
      </c>
      <c r="F49" s="2">
        <v>7.2690445485932287E-3</v>
      </c>
      <c r="G49" s="1">
        <f t="shared" si="7"/>
        <v>506.18880000000007</v>
      </c>
      <c r="H49" s="1">
        <f t="shared" si="5"/>
        <v>25.56169907230144</v>
      </c>
      <c r="I49" s="1">
        <f t="shared" si="8"/>
        <v>5707.6272741788434</v>
      </c>
      <c r="J49" s="1">
        <f t="shared" si="6"/>
        <v>0</v>
      </c>
    </row>
    <row r="50" spans="1:10" x14ac:dyDescent="0.45">
      <c r="A50">
        <f t="shared" si="0"/>
        <v>48</v>
      </c>
      <c r="B50" s="1">
        <f t="shared" si="1"/>
        <v>3051.4723609608563</v>
      </c>
      <c r="C50" s="1">
        <f t="shared" si="2"/>
        <v>2279.5040516707295</v>
      </c>
      <c r="D50" s="1">
        <f t="shared" si="3"/>
        <v>7013.9721972710904</v>
      </c>
      <c r="E50" s="1">
        <f t="shared" si="4"/>
        <v>306576.62921290734</v>
      </c>
      <c r="F50" s="2">
        <v>7.2690445485932287E-3</v>
      </c>
      <c r="G50" s="1">
        <f t="shared" si="7"/>
        <v>506.18880000000007</v>
      </c>
      <c r="H50" s="1">
        <f t="shared" si="5"/>
        <v>28.187813802119845</v>
      </c>
      <c r="I50" s="1">
        <f t="shared" si="8"/>
        <v>0</v>
      </c>
      <c r="J50" s="1">
        <f t="shared" si="6"/>
        <v>6242.0038879809636</v>
      </c>
    </row>
    <row r="51" spans="1:10" x14ac:dyDescent="0.45">
      <c r="A51">
        <f t="shared" si="0"/>
        <v>49</v>
      </c>
      <c r="B51" s="1">
        <f t="shared" si="1"/>
        <v>3051.4723609608563</v>
      </c>
      <c r="C51" s="1">
        <f t="shared" si="2"/>
        <v>2228.5191753061717</v>
      </c>
      <c r="D51" s="1">
        <f t="shared" si="3"/>
        <v>822.9531856546846</v>
      </c>
      <c r="E51" s="1">
        <f t="shared" si="4"/>
        <v>305753.67602725263</v>
      </c>
      <c r="F51" s="2">
        <v>7.2690445485932287E-3</v>
      </c>
      <c r="G51" s="1">
        <f t="shared" si="7"/>
        <v>526.43635200000006</v>
      </c>
      <c r="H51" s="1">
        <f t="shared" si="5"/>
        <v>0</v>
      </c>
      <c r="I51" s="1">
        <f t="shared" si="8"/>
        <v>526.43635200000006</v>
      </c>
      <c r="J51" s="1">
        <f t="shared" si="6"/>
        <v>0</v>
      </c>
    </row>
    <row r="52" spans="1:10" x14ac:dyDescent="0.45">
      <c r="A52">
        <f t="shared" si="0"/>
        <v>50</v>
      </c>
      <c r="B52" s="1">
        <f t="shared" si="1"/>
        <v>3051.4723609608563</v>
      </c>
      <c r="C52" s="1">
        <f t="shared" si="2"/>
        <v>2222.5370919382408</v>
      </c>
      <c r="D52" s="1">
        <f t="shared" si="3"/>
        <v>828.93526902261556</v>
      </c>
      <c r="E52" s="1">
        <f t="shared" si="4"/>
        <v>304924.74075823004</v>
      </c>
      <c r="F52" s="2">
        <v>7.2690445485932287E-3</v>
      </c>
      <c r="G52" s="1">
        <f t="shared" si="7"/>
        <v>526.43635200000006</v>
      </c>
      <c r="H52" s="1">
        <f t="shared" si="5"/>
        <v>2.5998701660101169</v>
      </c>
      <c r="I52" s="1">
        <f t="shared" si="8"/>
        <v>1055.4725741660102</v>
      </c>
      <c r="J52" s="1">
        <f t="shared" si="6"/>
        <v>0</v>
      </c>
    </row>
    <row r="53" spans="1:10" x14ac:dyDescent="0.45">
      <c r="A53">
        <f t="shared" si="0"/>
        <v>51</v>
      </c>
      <c r="B53" s="1">
        <f t="shared" si="1"/>
        <v>3051.4723609608563</v>
      </c>
      <c r="C53" s="1">
        <f t="shared" si="2"/>
        <v>2216.5115245398156</v>
      </c>
      <c r="D53" s="1">
        <f t="shared" si="3"/>
        <v>834.96083642104077</v>
      </c>
      <c r="E53" s="1">
        <f t="shared" si="4"/>
        <v>304089.77992180898</v>
      </c>
      <c r="F53" s="2">
        <v>7.2690445485932287E-3</v>
      </c>
      <c r="G53" s="1">
        <f t="shared" si="7"/>
        <v>526.43635200000006</v>
      </c>
      <c r="H53" s="1">
        <f t="shared" si="5"/>
        <v>5.2125801081003429</v>
      </c>
      <c r="I53" s="1">
        <f t="shared" si="8"/>
        <v>1587.1215062741105</v>
      </c>
      <c r="J53" s="1">
        <f t="shared" si="6"/>
        <v>0</v>
      </c>
    </row>
    <row r="54" spans="1:10" x14ac:dyDescent="0.45">
      <c r="A54">
        <f t="shared" si="0"/>
        <v>52</v>
      </c>
      <c r="B54" s="1">
        <f t="shared" si="1"/>
        <v>3051.4723609608563</v>
      </c>
      <c r="C54" s="1">
        <f t="shared" si="2"/>
        <v>2210.4421570235404</v>
      </c>
      <c r="D54" s="1">
        <f t="shared" si="3"/>
        <v>841.03020393731595</v>
      </c>
      <c r="E54" s="1">
        <f t="shared" si="4"/>
        <v>303248.74971787166</v>
      </c>
      <c r="F54" s="2">
        <v>7.2690445485932287E-3</v>
      </c>
      <c r="G54" s="1">
        <f t="shared" si="7"/>
        <v>526.43635200000006</v>
      </c>
      <c r="H54" s="1">
        <f t="shared" si="5"/>
        <v>7.8381932370717022</v>
      </c>
      <c r="I54" s="1">
        <f t="shared" si="8"/>
        <v>2121.3960515111821</v>
      </c>
      <c r="J54" s="1">
        <f t="shared" si="6"/>
        <v>0</v>
      </c>
    </row>
    <row r="55" spans="1:10" x14ac:dyDescent="0.45">
      <c r="A55">
        <f t="shared" si="0"/>
        <v>53</v>
      </c>
      <c r="B55" s="1">
        <f t="shared" si="1"/>
        <v>3051.4723609608563</v>
      </c>
      <c r="C55" s="1">
        <f t="shared" si="2"/>
        <v>2204.3286710044072</v>
      </c>
      <c r="D55" s="1">
        <f t="shared" si="3"/>
        <v>847.14368995644918</v>
      </c>
      <c r="E55" s="1">
        <f t="shared" si="4"/>
        <v>302401.6060279152</v>
      </c>
      <c r="F55" s="2">
        <v>7.2690445485932287E-3</v>
      </c>
      <c r="G55" s="1">
        <f t="shared" si="7"/>
        <v>526.43635200000006</v>
      </c>
      <c r="H55" s="1">
        <f t="shared" si="5"/>
        <v>10.476773276887199</v>
      </c>
      <c r="I55" s="1">
        <f t="shared" si="8"/>
        <v>2658.3091767880696</v>
      </c>
      <c r="J55" s="1">
        <f t="shared" si="6"/>
        <v>0</v>
      </c>
    </row>
    <row r="56" spans="1:10" x14ac:dyDescent="0.45">
      <c r="A56">
        <f t="shared" si="0"/>
        <v>54</v>
      </c>
      <c r="B56" s="1">
        <f t="shared" si="1"/>
        <v>3051.4723609608563</v>
      </c>
      <c r="C56" s="1">
        <f t="shared" si="2"/>
        <v>2198.1707457830544</v>
      </c>
      <c r="D56" s="1">
        <f t="shared" si="3"/>
        <v>853.30161517780198</v>
      </c>
      <c r="E56" s="1">
        <f t="shared" si="4"/>
        <v>301548.30441273737</v>
      </c>
      <c r="F56" s="2">
        <v>7.2690445485932287E-3</v>
      </c>
      <c r="G56" s="1">
        <f t="shared" si="7"/>
        <v>526.43635200000006</v>
      </c>
      <c r="H56" s="1">
        <f t="shared" si="5"/>
        <v>13.128384266218408</v>
      </c>
      <c r="I56" s="1">
        <f t="shared" si="8"/>
        <v>3197.8739130542881</v>
      </c>
      <c r="J56" s="1">
        <f t="shared" si="6"/>
        <v>0</v>
      </c>
    </row>
    <row r="57" spans="1:10" x14ac:dyDescent="0.45">
      <c r="A57">
        <f t="shared" si="0"/>
        <v>55</v>
      </c>
      <c r="B57" s="1">
        <f t="shared" si="1"/>
        <v>3051.4723609608563</v>
      </c>
      <c r="C57" s="1">
        <f t="shared" si="2"/>
        <v>2191.9680583289401</v>
      </c>
      <c r="D57" s="1">
        <f t="shared" si="3"/>
        <v>859.50430263191629</v>
      </c>
      <c r="E57" s="1">
        <f t="shared" si="4"/>
        <v>300688.80011010548</v>
      </c>
      <c r="F57" s="2">
        <v>7.2690445485932287E-3</v>
      </c>
      <c r="G57" s="1">
        <f t="shared" si="7"/>
        <v>526.43635200000006</v>
      </c>
      <c r="H57" s="1">
        <f t="shared" si="5"/>
        <v>15.79309055999969</v>
      </c>
      <c r="I57" s="1">
        <f t="shared" si="8"/>
        <v>3740.1033556142879</v>
      </c>
      <c r="J57" s="1">
        <f t="shared" si="6"/>
        <v>0</v>
      </c>
    </row>
    <row r="58" spans="1:10" x14ac:dyDescent="0.45">
      <c r="A58">
        <f t="shared" si="0"/>
        <v>56</v>
      </c>
      <c r="B58" s="1">
        <f t="shared" si="1"/>
        <v>3051.4723609608563</v>
      </c>
      <c r="C58" s="1">
        <f t="shared" si="2"/>
        <v>2185.7202832634011</v>
      </c>
      <c r="D58" s="1">
        <f t="shared" si="3"/>
        <v>865.75207769745521</v>
      </c>
      <c r="E58" s="1">
        <f t="shared" si="4"/>
        <v>299823.04803240806</v>
      </c>
      <c r="F58" s="2">
        <v>7.2690445485932287E-3</v>
      </c>
      <c r="G58" s="1">
        <f t="shared" si="7"/>
        <v>526.43635200000006</v>
      </c>
      <c r="H58" s="1">
        <f t="shared" si="5"/>
        <v>18.470956830990108</v>
      </c>
      <c r="I58" s="1">
        <f t="shared" si="8"/>
        <v>4285.0106644452781</v>
      </c>
      <c r="J58" s="1">
        <f t="shared" si="6"/>
        <v>0</v>
      </c>
    </row>
    <row r="59" spans="1:10" x14ac:dyDescent="0.45">
      <c r="A59">
        <f t="shared" si="0"/>
        <v>57</v>
      </c>
      <c r="B59" s="1">
        <f t="shared" si="1"/>
        <v>3051.4723609608563</v>
      </c>
      <c r="C59" s="1">
        <f t="shared" si="2"/>
        <v>2179.4270928425817</v>
      </c>
      <c r="D59" s="1">
        <f t="shared" si="3"/>
        <v>872.04526811827463</v>
      </c>
      <c r="E59" s="1">
        <f t="shared" si="4"/>
        <v>298951.00276428979</v>
      </c>
      <c r="F59" s="2">
        <v>7.2690445485932287E-3</v>
      </c>
      <c r="G59" s="1">
        <f t="shared" si="7"/>
        <v>526.43635200000006</v>
      </c>
      <c r="H59" s="1">
        <f t="shared" si="5"/>
        <v>21.16204807134304</v>
      </c>
      <c r="I59" s="1">
        <f t="shared" si="8"/>
        <v>4832.6090645166205</v>
      </c>
      <c r="J59" s="1">
        <f t="shared" si="6"/>
        <v>0</v>
      </c>
    </row>
    <row r="60" spans="1:10" x14ac:dyDescent="0.45">
      <c r="A60">
        <f t="shared" si="0"/>
        <v>58</v>
      </c>
      <c r="B60" s="1">
        <f t="shared" si="1"/>
        <v>3051.4723609608563</v>
      </c>
      <c r="C60" s="1">
        <f t="shared" si="2"/>
        <v>2173.08815694024</v>
      </c>
      <c r="D60" s="1">
        <f t="shared" si="3"/>
        <v>878.38420402061638</v>
      </c>
      <c r="E60" s="1">
        <f t="shared" si="4"/>
        <v>298072.61856026918</v>
      </c>
      <c r="F60" s="2">
        <v>7.2690445485932287E-3</v>
      </c>
      <c r="G60" s="1">
        <f t="shared" si="7"/>
        <v>526.43635200000006</v>
      </c>
      <c r="H60" s="1">
        <f t="shared" si="5"/>
        <v>23.866429594183536</v>
      </c>
      <c r="I60" s="1">
        <f t="shared" si="8"/>
        <v>5382.9118461108037</v>
      </c>
      <c r="J60" s="1">
        <f t="shared" si="6"/>
        <v>0</v>
      </c>
    </row>
    <row r="61" spans="1:10" x14ac:dyDescent="0.45">
      <c r="A61">
        <f t="shared" si="0"/>
        <v>59</v>
      </c>
      <c r="B61" s="1">
        <f t="shared" si="1"/>
        <v>3051.4723609608563</v>
      </c>
      <c r="C61" s="1">
        <f t="shared" si="2"/>
        <v>2166.7031430304337</v>
      </c>
      <c r="D61" s="1">
        <f t="shared" si="3"/>
        <v>884.76921793042266</v>
      </c>
      <c r="E61" s="1">
        <f t="shared" si="4"/>
        <v>297187.84934233874</v>
      </c>
      <c r="F61" s="2">
        <v>7.2690445485932287E-3</v>
      </c>
      <c r="G61" s="1">
        <f t="shared" si="7"/>
        <v>526.43635200000006</v>
      </c>
      <c r="H61" s="1">
        <f t="shared" si="5"/>
        <v>26.584167035193495</v>
      </c>
      <c r="I61" s="1">
        <f t="shared" si="8"/>
        <v>5935.9323651459972</v>
      </c>
      <c r="J61" s="1">
        <f t="shared" si="6"/>
        <v>0</v>
      </c>
    </row>
    <row r="62" spans="1:10" x14ac:dyDescent="0.45">
      <c r="A62">
        <f t="shared" si="0"/>
        <v>60</v>
      </c>
      <c r="B62" s="1">
        <f t="shared" si="1"/>
        <v>3051.4723609608563</v>
      </c>
      <c r="C62" s="1">
        <f t="shared" si="2"/>
        <v>2160.271716170073</v>
      </c>
      <c r="D62" s="1">
        <f t="shared" si="3"/>
        <v>7382.8846882909847</v>
      </c>
      <c r="E62" s="1">
        <f t="shared" si="4"/>
        <v>289804.96465404774</v>
      </c>
      <c r="F62" s="2">
        <v>7.2690445485932287E-3</v>
      </c>
      <c r="G62" s="1">
        <f t="shared" si="7"/>
        <v>526.43635200000006</v>
      </c>
      <c r="H62" s="1">
        <f t="shared" si="5"/>
        <v>29.315326354204636</v>
      </c>
      <c r="I62" s="1">
        <f t="shared" si="8"/>
        <v>0</v>
      </c>
      <c r="J62" s="1">
        <f t="shared" si="6"/>
        <v>6491.6840435002014</v>
      </c>
    </row>
    <row r="63" spans="1:10" x14ac:dyDescent="0.45">
      <c r="A63">
        <f t="shared" si="0"/>
        <v>61</v>
      </c>
      <c r="B63" s="1">
        <f t="shared" si="1"/>
        <v>3051.4723609608563</v>
      </c>
      <c r="C63" s="1">
        <f t="shared" si="2"/>
        <v>2106.6051984737592</v>
      </c>
      <c r="D63" s="1">
        <f t="shared" si="3"/>
        <v>944.86716248709718</v>
      </c>
      <c r="E63" s="1">
        <f t="shared" si="4"/>
        <v>288860.09749156062</v>
      </c>
      <c r="F63" s="2">
        <v>7.2690445485932287E-3</v>
      </c>
      <c r="G63" s="1">
        <f t="shared" si="7"/>
        <v>547.49380608000013</v>
      </c>
      <c r="H63" s="1">
        <f t="shared" si="5"/>
        <v>0</v>
      </c>
      <c r="I63" s="1">
        <f t="shared" si="8"/>
        <v>547.49380608000013</v>
      </c>
      <c r="J63" s="1">
        <f t="shared" si="6"/>
        <v>0</v>
      </c>
    </row>
    <row r="64" spans="1:10" x14ac:dyDescent="0.45">
      <c r="A64">
        <f t="shared" si="0"/>
        <v>62</v>
      </c>
      <c r="B64" s="1">
        <f t="shared" si="1"/>
        <v>3051.4723609608563</v>
      </c>
      <c r="C64" s="1">
        <f t="shared" si="2"/>
        <v>2099.7369169771373</v>
      </c>
      <c r="D64" s="1">
        <f t="shared" si="3"/>
        <v>951.73544398371905</v>
      </c>
      <c r="E64" s="1">
        <f t="shared" si="4"/>
        <v>287908.36204757693</v>
      </c>
      <c r="F64" s="2">
        <v>7.2690445485932287E-3</v>
      </c>
      <c r="G64" s="1">
        <f t="shared" si="7"/>
        <v>547.49380608000013</v>
      </c>
      <c r="H64" s="1">
        <f t="shared" si="5"/>
        <v>2.7038649726505222</v>
      </c>
      <c r="I64" s="1">
        <f t="shared" si="8"/>
        <v>1097.6914771326508</v>
      </c>
      <c r="J64" s="1">
        <f t="shared" si="6"/>
        <v>0</v>
      </c>
    </row>
    <row r="65" spans="1:10" x14ac:dyDescent="0.45">
      <c r="A65">
        <f t="shared" si="0"/>
        <v>63</v>
      </c>
      <c r="B65" s="1">
        <f t="shared" si="1"/>
        <v>3051.4723609608563</v>
      </c>
      <c r="C65" s="1">
        <f t="shared" si="2"/>
        <v>2092.8187096363445</v>
      </c>
      <c r="D65" s="1">
        <f t="shared" si="3"/>
        <v>958.65365132451188</v>
      </c>
      <c r="E65" s="1">
        <f t="shared" si="4"/>
        <v>286949.70839625242</v>
      </c>
      <c r="F65" s="2">
        <v>7.2690445485932287E-3</v>
      </c>
      <c r="G65" s="1">
        <f t="shared" si="7"/>
        <v>547.49380608000013</v>
      </c>
      <c r="H65" s="1">
        <f t="shared" si="5"/>
        <v>5.4210833124243578</v>
      </c>
      <c r="I65" s="1">
        <f t="shared" si="8"/>
        <v>1650.6063665250754</v>
      </c>
      <c r="J65" s="1">
        <f t="shared" si="6"/>
        <v>0</v>
      </c>
    </row>
    <row r="66" spans="1:10" x14ac:dyDescent="0.45">
      <c r="A66">
        <f t="shared" si="0"/>
        <v>64</v>
      </c>
      <c r="B66" s="1">
        <f t="shared" si="1"/>
        <v>3051.4723609608563</v>
      </c>
      <c r="C66" s="1">
        <f t="shared" si="2"/>
        <v>2085.8502135381955</v>
      </c>
      <c r="D66" s="1">
        <f t="shared" si="3"/>
        <v>965.62214742266087</v>
      </c>
      <c r="E66" s="1">
        <f t="shared" si="4"/>
        <v>285984.08624882979</v>
      </c>
      <c r="F66" s="2">
        <v>7.2690445485932287E-3</v>
      </c>
      <c r="G66" s="1">
        <f t="shared" si="7"/>
        <v>547.49380608000013</v>
      </c>
      <c r="H66" s="1">
        <f t="shared" si="5"/>
        <v>8.1517209665545725</v>
      </c>
      <c r="I66" s="1">
        <f t="shared" si="8"/>
        <v>2206.2518935716298</v>
      </c>
      <c r="J66" s="1">
        <f t="shared" si="6"/>
        <v>0</v>
      </c>
    </row>
    <row r="67" spans="1:10" x14ac:dyDescent="0.45">
      <c r="A67">
        <f t="shared" si="0"/>
        <v>65</v>
      </c>
      <c r="B67" s="1">
        <f t="shared" si="1"/>
        <v>3051.4723609608563</v>
      </c>
      <c r="C67" s="1">
        <f t="shared" si="2"/>
        <v>2078.8310631314721</v>
      </c>
      <c r="D67" s="1">
        <f t="shared" si="3"/>
        <v>972.64129782938426</v>
      </c>
      <c r="E67" s="1">
        <f t="shared" si="4"/>
        <v>285011.44495100039</v>
      </c>
      <c r="F67" s="2">
        <v>7.2690445485932287E-3</v>
      </c>
      <c r="G67" s="1">
        <f t="shared" si="7"/>
        <v>547.49380608000013</v>
      </c>
      <c r="H67" s="1">
        <f t="shared" si="5"/>
        <v>10.895844207962689</v>
      </c>
      <c r="I67" s="1">
        <f t="shared" si="8"/>
        <v>2764.6415438595927</v>
      </c>
      <c r="J67" s="1">
        <f t="shared" si="6"/>
        <v>0</v>
      </c>
    </row>
    <row r="68" spans="1:10" x14ac:dyDescent="0.45">
      <c r="A68">
        <f t="shared" ref="A68:A131" si="10">IF(A67&lt;$O$2*12, A67+1, "")</f>
        <v>66</v>
      </c>
      <c r="B68" s="1">
        <f t="shared" ref="B68:B131" si="11">IF(A68&gt;$O$2*12, "",IF(AND(A68&lt;=$O$2*12,$O$33="T"), $E$2*$O$21/(1-1/((1+$O$21)^($O$2*12))), IF(AND(A68&lt;=$O$2*12,MOD(A68-1,12*$O$3)&lt;&gt;0),B67,IF(AND(A68&lt;=$O$2*12,MOD(A68-1,12*$O$3)=0), E67*F67/(1-1/((1+F67)^($O$2*12-A67))),""))))</f>
        <v>3051.4723609608563</v>
      </c>
      <c r="C68" s="1">
        <f t="shared" ref="C68:C131" si="12">IF(A68&lt;=$O$2*12,F67*E67,"")</f>
        <v>2071.7608902077486</v>
      </c>
      <c r="D68" s="1">
        <f t="shared" ref="D68:D131" si="13">IF(A68&lt;=$O$2*12, B68-C68+J68,"")</f>
        <v>979.71147075310773</v>
      </c>
      <c r="E68" s="1">
        <f t="shared" ref="E68:E131" si="14">IF(A68&lt;=($O$2*12), E67-D68, "")</f>
        <v>284031.73348024726</v>
      </c>
      <c r="F68" s="2">
        <v>7.2690445485932287E-3</v>
      </c>
      <c r="G68" s="1">
        <f t="shared" si="7"/>
        <v>547.49380608000013</v>
      </c>
      <c r="H68" s="1">
        <f t="shared" ref="H68:H131" si="15">IF(A68&lt;=$O$2*12, I67*(($O$7/2+1)^(1/6)-1), "")</f>
        <v>13.653519636867145</v>
      </c>
      <c r="I68" s="1">
        <f t="shared" si="8"/>
        <v>3325.78886957646</v>
      </c>
      <c r="J68" s="1">
        <f t="shared" ref="J68:J131" si="16">IF(A68&gt;$O$2*12, "",IF(MOD(A68, 12) &lt;&gt; 0, 0, IF(I67+H68+G68&gt;B68*12*$O$5, 12*B68*$O$5, IF(I67+H68+G68&lt;=B68*12*$O$5, I67+H68+G68, ""))))</f>
        <v>0</v>
      </c>
    </row>
    <row r="69" spans="1:10" x14ac:dyDescent="0.45">
      <c r="A69">
        <f t="shared" si="10"/>
        <v>67</v>
      </c>
      <c r="B69" s="1">
        <f t="shared" si="11"/>
        <v>3051.4723609608563</v>
      </c>
      <c r="C69" s="1">
        <f t="shared" si="12"/>
        <v>2064.639323882076</v>
      </c>
      <c r="D69" s="1">
        <f t="shared" si="13"/>
        <v>986.83303707878031</v>
      </c>
      <c r="E69" s="1">
        <f t="shared" si="14"/>
        <v>283044.90044316847</v>
      </c>
      <c r="F69" s="2">
        <v>7.2690445485932287E-3</v>
      </c>
      <c r="G69" s="1">
        <f t="shared" ref="G69:G132" si="17">IF(A69&gt;$O$2*12, "", IF(MOD(A69-1, 12) = 0, G68*(1+$O$8), G68))</f>
        <v>547.49380608000013</v>
      </c>
      <c r="H69" s="1">
        <f t="shared" si="15"/>
        <v>16.424814182399679</v>
      </c>
      <c r="I69" s="1">
        <f t="shared" ref="I69:I132" si="18">IF(A69&gt;$O$2*12, "", IF(MOD(A69, 12) &lt;&gt; 0, I68+G69+H69, I68+G69+H69-J69))</f>
        <v>3889.7074898388596</v>
      </c>
      <c r="J69" s="1">
        <f t="shared" si="16"/>
        <v>0</v>
      </c>
    </row>
    <row r="70" spans="1:10" x14ac:dyDescent="0.45">
      <c r="A70">
        <f t="shared" si="10"/>
        <v>68</v>
      </c>
      <c r="B70" s="1">
        <f t="shared" si="11"/>
        <v>3051.4723609608563</v>
      </c>
      <c r="C70" s="1">
        <f t="shared" si="12"/>
        <v>2057.4659905735271</v>
      </c>
      <c r="D70" s="1">
        <f t="shared" si="13"/>
        <v>994.0063703873293</v>
      </c>
      <c r="E70" s="1">
        <f t="shared" si="14"/>
        <v>282050.89407278114</v>
      </c>
      <c r="F70" s="2">
        <v>7.2690445485932287E-3</v>
      </c>
      <c r="G70" s="1">
        <f t="shared" si="17"/>
        <v>547.49380608000013</v>
      </c>
      <c r="H70" s="1">
        <f t="shared" si="15"/>
        <v>19.209795104229713</v>
      </c>
      <c r="I70" s="1">
        <f t="shared" si="18"/>
        <v>4456.4110910230893</v>
      </c>
      <c r="J70" s="1">
        <f t="shared" si="16"/>
        <v>0</v>
      </c>
    </row>
    <row r="71" spans="1:10" x14ac:dyDescent="0.45">
      <c r="A71">
        <f t="shared" si="10"/>
        <v>69</v>
      </c>
      <c r="B71" s="1">
        <f t="shared" si="11"/>
        <v>3051.4723609608563</v>
      </c>
      <c r="C71" s="1">
        <f t="shared" si="12"/>
        <v>2050.240513985596</v>
      </c>
      <c r="D71" s="1">
        <f t="shared" si="13"/>
        <v>1001.2318469752604</v>
      </c>
      <c r="E71" s="1">
        <f t="shared" si="14"/>
        <v>281049.66222580586</v>
      </c>
      <c r="F71" s="2">
        <v>7.2690445485932287E-3</v>
      </c>
      <c r="G71" s="1">
        <f t="shared" si="17"/>
        <v>547.49380608000013</v>
      </c>
      <c r="H71" s="1">
        <f t="shared" si="15"/>
        <v>22.008529994196763</v>
      </c>
      <c r="I71" s="1">
        <f t="shared" si="18"/>
        <v>5025.9134270972863</v>
      </c>
      <c r="J71" s="1">
        <f t="shared" si="16"/>
        <v>0</v>
      </c>
    </row>
    <row r="72" spans="1:10" x14ac:dyDescent="0.45">
      <c r="A72">
        <f t="shared" si="10"/>
        <v>70</v>
      </c>
      <c r="B72" s="1">
        <f t="shared" si="11"/>
        <v>3051.4723609608563</v>
      </c>
      <c r="C72" s="1">
        <f t="shared" si="12"/>
        <v>2042.9625150864624</v>
      </c>
      <c r="D72" s="1">
        <f t="shared" si="13"/>
        <v>1008.5098458743939</v>
      </c>
      <c r="E72" s="1">
        <f t="shared" si="14"/>
        <v>280041.15237993147</v>
      </c>
      <c r="F72" s="2">
        <v>7.2690445485932287E-3</v>
      </c>
      <c r="G72" s="1">
        <f t="shared" si="17"/>
        <v>547.49380608000013</v>
      </c>
      <c r="H72" s="1">
        <f t="shared" si="15"/>
        <v>24.821086777950882</v>
      </c>
      <c r="I72" s="1">
        <f t="shared" si="18"/>
        <v>5598.2283199552376</v>
      </c>
      <c r="J72" s="1">
        <f t="shared" si="16"/>
        <v>0</v>
      </c>
    </row>
    <row r="73" spans="1:10" x14ac:dyDescent="0.45">
      <c r="A73">
        <f t="shared" si="10"/>
        <v>71</v>
      </c>
      <c r="B73" s="1">
        <f t="shared" si="11"/>
        <v>3051.4723609608563</v>
      </c>
      <c r="C73" s="1">
        <f t="shared" si="12"/>
        <v>2035.6316120891065</v>
      </c>
      <c r="D73" s="1">
        <f t="shared" si="13"/>
        <v>1015.8407488717498</v>
      </c>
      <c r="E73" s="1">
        <f t="shared" si="14"/>
        <v>279025.31163105974</v>
      </c>
      <c r="F73" s="2">
        <v>7.2690445485932287E-3</v>
      </c>
      <c r="G73" s="1">
        <f t="shared" si="17"/>
        <v>547.49380608000013</v>
      </c>
      <c r="H73" s="1">
        <f t="shared" si="15"/>
        <v>27.647533716601245</v>
      </c>
      <c r="I73" s="1">
        <f t="shared" si="18"/>
        <v>6173.3696597518392</v>
      </c>
      <c r="J73" s="1">
        <f t="shared" si="16"/>
        <v>0</v>
      </c>
    </row>
    <row r="74" spans="1:10" x14ac:dyDescent="0.45">
      <c r="A74">
        <f t="shared" si="10"/>
        <v>72</v>
      </c>
      <c r="B74" s="1">
        <f t="shared" si="11"/>
        <v>3051.4723609608563</v>
      </c>
      <c r="C74" s="1">
        <f t="shared" si="12"/>
        <v>2028.2474204312816</v>
      </c>
      <c r="D74" s="1">
        <f t="shared" si="13"/>
        <v>7774.5763457697867</v>
      </c>
      <c r="E74" s="1">
        <f t="shared" si="14"/>
        <v>271250.73528528993</v>
      </c>
      <c r="F74" s="2">
        <v>7.2690445485932287E-3</v>
      </c>
      <c r="G74" s="1">
        <f t="shared" si="17"/>
        <v>547.49380608000013</v>
      </c>
      <c r="H74" s="1">
        <f t="shared" si="15"/>
        <v>30.487939408372831</v>
      </c>
      <c r="I74" s="1">
        <f t="shared" si="18"/>
        <v>0</v>
      </c>
      <c r="J74" s="1">
        <f t="shared" si="16"/>
        <v>6751.3514052402124</v>
      </c>
    </row>
    <row r="75" spans="1:10" x14ac:dyDescent="0.45">
      <c r="A75">
        <f t="shared" si="10"/>
        <v>73</v>
      </c>
      <c r="B75" s="1">
        <f t="shared" si="11"/>
        <v>3051.4723609608563</v>
      </c>
      <c r="C75" s="1">
        <f t="shared" si="12"/>
        <v>1971.7336786274418</v>
      </c>
      <c r="D75" s="1">
        <f t="shared" si="13"/>
        <v>1079.7386823334145</v>
      </c>
      <c r="E75" s="1">
        <f t="shared" si="14"/>
        <v>270170.9966029565</v>
      </c>
      <c r="F75" s="2">
        <v>7.2690445485932287E-3</v>
      </c>
      <c r="G75" s="1">
        <f t="shared" si="17"/>
        <v>569.39355832320018</v>
      </c>
      <c r="H75" s="1">
        <f t="shared" si="15"/>
        <v>0</v>
      </c>
      <c r="I75" s="1">
        <f t="shared" si="18"/>
        <v>569.39355832320018</v>
      </c>
      <c r="J75" s="1">
        <f t="shared" si="16"/>
        <v>0</v>
      </c>
    </row>
    <row r="76" spans="1:10" x14ac:dyDescent="0.45">
      <c r="A76">
        <f t="shared" si="10"/>
        <v>74</v>
      </c>
      <c r="B76" s="1">
        <f t="shared" si="11"/>
        <v>3051.4723609608563</v>
      </c>
      <c r="C76" s="1">
        <f t="shared" si="12"/>
        <v>1963.8850100447207</v>
      </c>
      <c r="D76" s="1">
        <f t="shared" si="13"/>
        <v>1087.5873509161356</v>
      </c>
      <c r="E76" s="1">
        <f t="shared" si="14"/>
        <v>269083.40925204038</v>
      </c>
      <c r="F76" s="2">
        <v>7.2690445485932287E-3</v>
      </c>
      <c r="G76" s="1">
        <f t="shared" si="17"/>
        <v>569.39355832320018</v>
      </c>
      <c r="H76" s="1">
        <f t="shared" si="15"/>
        <v>2.8120195715565433</v>
      </c>
      <c r="I76" s="1">
        <f t="shared" si="18"/>
        <v>1141.5991362179568</v>
      </c>
      <c r="J76" s="1">
        <f t="shared" si="16"/>
        <v>0</v>
      </c>
    </row>
    <row r="77" spans="1:10" x14ac:dyDescent="0.45">
      <c r="A77">
        <f t="shared" si="10"/>
        <v>75</v>
      </c>
      <c r="B77" s="1">
        <f t="shared" si="11"/>
        <v>3051.4723609608563</v>
      </c>
      <c r="C77" s="1">
        <f t="shared" si="12"/>
        <v>1955.979289140425</v>
      </c>
      <c r="D77" s="1">
        <f t="shared" si="13"/>
        <v>1095.4930718204314</v>
      </c>
      <c r="E77" s="1">
        <f t="shared" si="14"/>
        <v>267987.91618021997</v>
      </c>
      <c r="F77" s="2">
        <v>7.2690445485932287E-3</v>
      </c>
      <c r="G77" s="1">
        <f t="shared" si="17"/>
        <v>569.39355832320018</v>
      </c>
      <c r="H77" s="1">
        <f t="shared" si="15"/>
        <v>5.6379266449213317</v>
      </c>
      <c r="I77" s="1">
        <f t="shared" si="18"/>
        <v>1716.6306211860785</v>
      </c>
      <c r="J77" s="1">
        <f t="shared" si="16"/>
        <v>0</v>
      </c>
    </row>
    <row r="78" spans="1:10" x14ac:dyDescent="0.45">
      <c r="A78">
        <f t="shared" si="10"/>
        <v>76</v>
      </c>
      <c r="B78" s="1">
        <f t="shared" si="11"/>
        <v>3051.4723609608563</v>
      </c>
      <c r="C78" s="1">
        <f t="shared" si="12"/>
        <v>1948.016101198687</v>
      </c>
      <c r="D78" s="1">
        <f t="shared" si="13"/>
        <v>1103.4562597621693</v>
      </c>
      <c r="E78" s="1">
        <f t="shared" si="14"/>
        <v>266884.4599204578</v>
      </c>
      <c r="F78" s="2">
        <v>7.2690445485932287E-3</v>
      </c>
      <c r="G78" s="1">
        <f t="shared" si="17"/>
        <v>569.39355832320018</v>
      </c>
      <c r="H78" s="1">
        <f t="shared" si="15"/>
        <v>8.4777898052167568</v>
      </c>
      <c r="I78" s="1">
        <f t="shared" si="18"/>
        <v>2294.5019693144955</v>
      </c>
      <c r="J78" s="1">
        <f t="shared" si="16"/>
        <v>0</v>
      </c>
    </row>
    <row r="79" spans="1:10" x14ac:dyDescent="0.45">
      <c r="A79">
        <f t="shared" si="10"/>
        <v>77</v>
      </c>
      <c r="B79" s="1">
        <f t="shared" si="11"/>
        <v>3051.4723609608563</v>
      </c>
      <c r="C79" s="1">
        <f t="shared" si="12"/>
        <v>1939.9950284890517</v>
      </c>
      <c r="D79" s="1">
        <f t="shared" si="13"/>
        <v>1111.4773324718046</v>
      </c>
      <c r="E79" s="1">
        <f t="shared" si="14"/>
        <v>265772.98258798599</v>
      </c>
      <c r="F79" s="2">
        <v>7.2690445485932287E-3</v>
      </c>
      <c r="G79" s="1">
        <f t="shared" si="17"/>
        <v>569.39355832320018</v>
      </c>
      <c r="H79" s="1">
        <f t="shared" si="15"/>
        <v>11.331677976281199</v>
      </c>
      <c r="I79" s="1">
        <f t="shared" si="18"/>
        <v>2875.2272056139768</v>
      </c>
      <c r="J79" s="1">
        <f t="shared" si="16"/>
        <v>0</v>
      </c>
    </row>
    <row r="80" spans="1:10" x14ac:dyDescent="0.45">
      <c r="A80">
        <f t="shared" si="10"/>
        <v>78</v>
      </c>
      <c r="B80" s="1">
        <f t="shared" si="11"/>
        <v>3051.4723609608563</v>
      </c>
      <c r="C80" s="1">
        <f t="shared" si="12"/>
        <v>1931.9156502445626</v>
      </c>
      <c r="D80" s="1">
        <f t="shared" si="13"/>
        <v>1119.5567107162938</v>
      </c>
      <c r="E80" s="1">
        <f t="shared" si="14"/>
        <v>264653.42587726971</v>
      </c>
      <c r="F80" s="2">
        <v>7.2690445485932287E-3</v>
      </c>
      <c r="G80" s="1">
        <f t="shared" si="17"/>
        <v>569.39355832320018</v>
      </c>
      <c r="H80" s="1">
        <f t="shared" si="15"/>
        <v>14.199660422341834</v>
      </c>
      <c r="I80" s="1">
        <f t="shared" si="18"/>
        <v>3458.8204243595187</v>
      </c>
      <c r="J80" s="1">
        <f t="shared" si="16"/>
        <v>0</v>
      </c>
    </row>
    <row r="81" spans="1:10" x14ac:dyDescent="0.45">
      <c r="A81">
        <f t="shared" si="10"/>
        <v>79</v>
      </c>
      <c r="B81" s="1">
        <f t="shared" si="11"/>
        <v>3051.4723609608563</v>
      </c>
      <c r="C81" s="1">
        <f t="shared" si="12"/>
        <v>1923.7775426396895</v>
      </c>
      <c r="D81" s="1">
        <f t="shared" si="13"/>
        <v>1127.6948183211668</v>
      </c>
      <c r="E81" s="1">
        <f t="shared" si="14"/>
        <v>263525.73105894856</v>
      </c>
      <c r="F81" s="2">
        <v>7.2690445485932287E-3</v>
      </c>
      <c r="G81" s="1">
        <f t="shared" si="17"/>
        <v>569.39355832320018</v>
      </c>
      <c r="H81" s="1">
        <f t="shared" si="15"/>
        <v>17.081806749695669</v>
      </c>
      <c r="I81" s="1">
        <f t="shared" si="18"/>
        <v>4045.2957894324145</v>
      </c>
      <c r="J81" s="1">
        <f t="shared" si="16"/>
        <v>0</v>
      </c>
    </row>
    <row r="82" spans="1:10" x14ac:dyDescent="0.45">
      <c r="A82">
        <f t="shared" si="10"/>
        <v>80</v>
      </c>
      <c r="B82" s="1">
        <f t="shared" si="11"/>
        <v>3051.4723609608563</v>
      </c>
      <c r="C82" s="1">
        <f t="shared" si="12"/>
        <v>1915.5802787680952</v>
      </c>
      <c r="D82" s="1">
        <f t="shared" si="13"/>
        <v>1135.8920821927611</v>
      </c>
      <c r="E82" s="1">
        <f t="shared" si="14"/>
        <v>262389.8389767558</v>
      </c>
      <c r="F82" s="2">
        <v>7.2690445485932287E-3</v>
      </c>
      <c r="G82" s="1">
        <f t="shared" si="17"/>
        <v>569.39355832320018</v>
      </c>
      <c r="H82" s="1">
        <f t="shared" si="15"/>
        <v>19.978186908398904</v>
      </c>
      <c r="I82" s="1">
        <f t="shared" si="18"/>
        <v>4634.6675346640141</v>
      </c>
      <c r="J82" s="1">
        <f t="shared" si="16"/>
        <v>0</v>
      </c>
    </row>
    <row r="83" spans="1:10" x14ac:dyDescent="0.45">
      <c r="A83">
        <f t="shared" si="10"/>
        <v>81</v>
      </c>
      <c r="B83" s="1">
        <f t="shared" si="11"/>
        <v>3051.4723609608563</v>
      </c>
      <c r="C83" s="1">
        <f t="shared" si="12"/>
        <v>1907.3234286202419</v>
      </c>
      <c r="D83" s="1">
        <f t="shared" si="13"/>
        <v>1144.1489323406145</v>
      </c>
      <c r="E83" s="1">
        <f t="shared" si="14"/>
        <v>261245.69004441518</v>
      </c>
      <c r="F83" s="2">
        <v>7.2690445485932287E-3</v>
      </c>
      <c r="G83" s="1">
        <f t="shared" si="17"/>
        <v>569.39355832320018</v>
      </c>
      <c r="H83" s="1">
        <f t="shared" si="15"/>
        <v>22.88887119396464</v>
      </c>
      <c r="I83" s="1">
        <f t="shared" si="18"/>
        <v>5226.949964181179</v>
      </c>
      <c r="J83" s="1">
        <f t="shared" si="16"/>
        <v>0</v>
      </c>
    </row>
    <row r="84" spans="1:10" x14ac:dyDescent="0.45">
      <c r="A84">
        <f t="shared" si="10"/>
        <v>82</v>
      </c>
      <c r="B84" s="1">
        <f t="shared" si="11"/>
        <v>3051.4723609608563</v>
      </c>
      <c r="C84" s="1">
        <f t="shared" si="12"/>
        <v>1899.0065590608326</v>
      </c>
      <c r="D84" s="1">
        <f t="shared" si="13"/>
        <v>1152.4658019000237</v>
      </c>
      <c r="E84" s="1">
        <f t="shared" si="14"/>
        <v>260093.22424251516</v>
      </c>
      <c r="F84" s="2">
        <v>7.2690445485932287E-3</v>
      </c>
      <c r="G84" s="1">
        <f t="shared" si="17"/>
        <v>569.39355832320018</v>
      </c>
      <c r="H84" s="1">
        <f t="shared" si="15"/>
        <v>25.813930249068925</v>
      </c>
      <c r="I84" s="1">
        <f t="shared" si="18"/>
        <v>5822.1574527534485</v>
      </c>
      <c r="J84" s="1">
        <f t="shared" si="16"/>
        <v>0</v>
      </c>
    </row>
    <row r="85" spans="1:10" x14ac:dyDescent="0.45">
      <c r="A85">
        <f t="shared" si="10"/>
        <v>83</v>
      </c>
      <c r="B85" s="1">
        <f t="shared" si="11"/>
        <v>3051.4723609608563</v>
      </c>
      <c r="C85" s="1">
        <f t="shared" si="12"/>
        <v>1890.629233806091</v>
      </c>
      <c r="D85" s="1">
        <f t="shared" si="13"/>
        <v>1160.8431271547654</v>
      </c>
      <c r="E85" s="1">
        <f t="shared" si="14"/>
        <v>258932.38111536039</v>
      </c>
      <c r="F85" s="2">
        <v>7.2690445485932287E-3</v>
      </c>
      <c r="G85" s="1">
        <f t="shared" si="17"/>
        <v>569.39355832320018</v>
      </c>
      <c r="H85" s="1">
        <f t="shared" si="15"/>
        <v>28.7534350652653</v>
      </c>
      <c r="I85" s="1">
        <f t="shared" si="18"/>
        <v>6420.304446141914</v>
      </c>
      <c r="J85" s="1">
        <f t="shared" si="16"/>
        <v>0</v>
      </c>
    </row>
    <row r="86" spans="1:10" x14ac:dyDescent="0.45">
      <c r="A86">
        <f t="shared" si="10"/>
        <v>84</v>
      </c>
      <c r="B86" s="1">
        <f t="shared" si="11"/>
        <v>3051.4723609608563</v>
      </c>
      <c r="C86" s="1">
        <f t="shared" si="12"/>
        <v>1882.1910134008747</v>
      </c>
      <c r="D86" s="1">
        <f t="shared" si="13"/>
        <v>8190.6868090098042</v>
      </c>
      <c r="E86" s="1">
        <f t="shared" si="14"/>
        <v>250741.69430635058</v>
      </c>
      <c r="F86" s="2">
        <v>7.2690445485932287E-3</v>
      </c>
      <c r="G86" s="1">
        <f t="shared" si="17"/>
        <v>569.39355832320018</v>
      </c>
      <c r="H86" s="1">
        <f t="shared" si="15"/>
        <v>31.707456984707751</v>
      </c>
      <c r="I86" s="1">
        <f t="shared" si="18"/>
        <v>0</v>
      </c>
      <c r="J86" s="1">
        <f t="shared" si="16"/>
        <v>7021.4054614498227</v>
      </c>
    </row>
    <row r="87" spans="1:10" x14ac:dyDescent="0.45">
      <c r="A87">
        <f t="shared" si="10"/>
        <v>85</v>
      </c>
      <c r="B87" s="1">
        <f t="shared" si="11"/>
        <v>3051.4723609608563</v>
      </c>
      <c r="C87" s="1">
        <f t="shared" si="12"/>
        <v>1822.6525461026074</v>
      </c>
      <c r="D87" s="1">
        <f t="shared" si="13"/>
        <v>1228.8198148582489</v>
      </c>
      <c r="E87" s="1">
        <f t="shared" si="14"/>
        <v>249512.87449149232</v>
      </c>
      <c r="F87" s="2">
        <v>7.2690445485932287E-3</v>
      </c>
      <c r="G87" s="1">
        <f t="shared" si="17"/>
        <v>592.16930065612826</v>
      </c>
      <c r="H87" s="1">
        <f t="shared" si="15"/>
        <v>0</v>
      </c>
      <c r="I87" s="1">
        <f t="shared" si="18"/>
        <v>592.16930065612826</v>
      </c>
      <c r="J87" s="1">
        <f t="shared" si="16"/>
        <v>0</v>
      </c>
    </row>
    <row r="88" spans="1:10" x14ac:dyDescent="0.45">
      <c r="A88">
        <f t="shared" si="10"/>
        <v>86</v>
      </c>
      <c r="B88" s="1">
        <f t="shared" si="11"/>
        <v>3051.4723609608563</v>
      </c>
      <c r="C88" s="1">
        <f t="shared" si="12"/>
        <v>1813.7202001262087</v>
      </c>
      <c r="D88" s="1">
        <f t="shared" si="13"/>
        <v>1237.7521608346476</v>
      </c>
      <c r="E88" s="1">
        <f t="shared" si="14"/>
        <v>248275.12233065767</v>
      </c>
      <c r="F88" s="2">
        <v>7.2690445485932287E-3</v>
      </c>
      <c r="G88" s="1">
        <f t="shared" si="17"/>
        <v>592.16930065612826</v>
      </c>
      <c r="H88" s="1">
        <f t="shared" si="15"/>
        <v>2.9245003544188051</v>
      </c>
      <c r="I88" s="1">
        <f t="shared" si="18"/>
        <v>1187.2631016666753</v>
      </c>
      <c r="J88" s="1">
        <f t="shared" si="16"/>
        <v>0</v>
      </c>
    </row>
    <row r="89" spans="1:10" x14ac:dyDescent="0.45">
      <c r="A89">
        <f t="shared" si="10"/>
        <v>87</v>
      </c>
      <c r="B89" s="1">
        <f t="shared" si="11"/>
        <v>3051.4723609608563</v>
      </c>
      <c r="C89" s="1">
        <f t="shared" si="12"/>
        <v>1804.7229245289841</v>
      </c>
      <c r="D89" s="1">
        <f t="shared" si="13"/>
        <v>1246.7494364318723</v>
      </c>
      <c r="E89" s="1">
        <f t="shared" si="14"/>
        <v>247028.37289422579</v>
      </c>
      <c r="F89" s="2">
        <v>7.2690445485932287E-3</v>
      </c>
      <c r="G89" s="1">
        <f t="shared" si="17"/>
        <v>592.16930065612826</v>
      </c>
      <c r="H89" s="1">
        <f t="shared" si="15"/>
        <v>5.8634437107181867</v>
      </c>
      <c r="I89" s="1">
        <f t="shared" si="18"/>
        <v>1785.2958460335219</v>
      </c>
      <c r="J89" s="1">
        <f t="shared" si="16"/>
        <v>0</v>
      </c>
    </row>
    <row r="90" spans="1:10" x14ac:dyDescent="0.45">
      <c r="A90">
        <f t="shared" si="10"/>
        <v>88</v>
      </c>
      <c r="B90" s="1">
        <f t="shared" si="11"/>
        <v>3051.4723609608563</v>
      </c>
      <c r="C90" s="1">
        <f t="shared" si="12"/>
        <v>1795.6602473346272</v>
      </c>
      <c r="D90" s="1">
        <f t="shared" si="13"/>
        <v>1255.8121136262291</v>
      </c>
      <c r="E90" s="1">
        <f t="shared" si="14"/>
        <v>245772.56078059957</v>
      </c>
      <c r="F90" s="2">
        <v>7.2690445485932287E-3</v>
      </c>
      <c r="G90" s="1">
        <f t="shared" si="17"/>
        <v>592.16930065612826</v>
      </c>
      <c r="H90" s="1">
        <f t="shared" si="15"/>
        <v>8.8169013974254273</v>
      </c>
      <c r="I90" s="1">
        <f t="shared" si="18"/>
        <v>2386.2820480870755</v>
      </c>
      <c r="J90" s="1">
        <f t="shared" si="16"/>
        <v>0</v>
      </c>
    </row>
    <row r="91" spans="1:10" x14ac:dyDescent="0.45">
      <c r="A91">
        <f t="shared" si="10"/>
        <v>89</v>
      </c>
      <c r="B91" s="1">
        <f t="shared" si="11"/>
        <v>3051.4723609608563</v>
      </c>
      <c r="C91" s="1">
        <f t="shared" si="12"/>
        <v>1786.5316931360153</v>
      </c>
      <c r="D91" s="1">
        <f t="shared" si="13"/>
        <v>1264.9406678248411</v>
      </c>
      <c r="E91" s="1">
        <f t="shared" si="14"/>
        <v>244507.62011277472</v>
      </c>
      <c r="F91" s="2">
        <v>7.2690445485932287E-3</v>
      </c>
      <c r="G91" s="1">
        <f t="shared" si="17"/>
        <v>592.16930065612826</v>
      </c>
      <c r="H91" s="1">
        <f t="shared" si="15"/>
        <v>11.784945095332448</v>
      </c>
      <c r="I91" s="1">
        <f t="shared" si="18"/>
        <v>2990.2362938385363</v>
      </c>
      <c r="J91" s="1">
        <f t="shared" si="16"/>
        <v>0</v>
      </c>
    </row>
    <row r="92" spans="1:10" x14ac:dyDescent="0.45">
      <c r="A92">
        <f t="shared" si="10"/>
        <v>90</v>
      </c>
      <c r="B92" s="1">
        <f t="shared" si="11"/>
        <v>3051.4723609608563</v>
      </c>
      <c r="C92" s="1">
        <f t="shared" si="12"/>
        <v>1777.3367830702691</v>
      </c>
      <c r="D92" s="1">
        <f t="shared" si="13"/>
        <v>1274.1355778905872</v>
      </c>
      <c r="E92" s="1">
        <f t="shared" si="14"/>
        <v>243233.48453488413</v>
      </c>
      <c r="F92" s="2">
        <v>7.2690445485932287E-3</v>
      </c>
      <c r="G92" s="1">
        <f t="shared" si="17"/>
        <v>592.16930065612826</v>
      </c>
      <c r="H92" s="1">
        <f t="shared" si="15"/>
        <v>14.767646839235509</v>
      </c>
      <c r="I92" s="1">
        <f t="shared" si="18"/>
        <v>3597.1732413339</v>
      </c>
      <c r="J92" s="1">
        <f t="shared" si="16"/>
        <v>0</v>
      </c>
    </row>
    <row r="93" spans="1:10" x14ac:dyDescent="0.45">
      <c r="A93">
        <f t="shared" si="10"/>
        <v>91</v>
      </c>
      <c r="B93" s="1">
        <f t="shared" si="11"/>
        <v>3051.4723609608563</v>
      </c>
      <c r="C93" s="1">
        <f t="shared" si="12"/>
        <v>1768.0750347936348</v>
      </c>
      <c r="D93" s="1">
        <f t="shared" si="13"/>
        <v>1283.3973261672215</v>
      </c>
      <c r="E93" s="1">
        <f t="shared" si="14"/>
        <v>241950.08720871693</v>
      </c>
      <c r="F93" s="2">
        <v>7.2690445485932287E-3</v>
      </c>
      <c r="G93" s="1">
        <f t="shared" si="17"/>
        <v>592.16930065612826</v>
      </c>
      <c r="H93" s="1">
        <f t="shared" si="15"/>
        <v>17.765079019683498</v>
      </c>
      <c r="I93" s="1">
        <f t="shared" si="18"/>
        <v>4207.1076210097117</v>
      </c>
      <c r="J93" s="1">
        <f t="shared" si="16"/>
        <v>0</v>
      </c>
    </row>
    <row r="94" spans="1:10" x14ac:dyDescent="0.45">
      <c r="A94">
        <f t="shared" si="10"/>
        <v>92</v>
      </c>
      <c r="B94" s="1">
        <f t="shared" si="11"/>
        <v>3051.4723609608563</v>
      </c>
      <c r="C94" s="1">
        <f t="shared" si="12"/>
        <v>1758.74596245618</v>
      </c>
      <c r="D94" s="1">
        <f t="shared" si="13"/>
        <v>1292.7263985046764</v>
      </c>
      <c r="E94" s="1">
        <f t="shared" si="14"/>
        <v>240657.36081021224</v>
      </c>
      <c r="F94" s="2">
        <v>7.2690445485932287E-3</v>
      </c>
      <c r="G94" s="1">
        <f t="shared" si="17"/>
        <v>592.16930065612826</v>
      </c>
      <c r="H94" s="1">
        <f t="shared" si="15"/>
        <v>20.777314384734865</v>
      </c>
      <c r="I94" s="1">
        <f t="shared" si="18"/>
        <v>4820.0542360505751</v>
      </c>
      <c r="J94" s="1">
        <f t="shared" si="16"/>
        <v>0</v>
      </c>
    </row>
    <row r="95" spans="1:10" x14ac:dyDescent="0.45">
      <c r="A95">
        <f t="shared" si="10"/>
        <v>93</v>
      </c>
      <c r="B95" s="1">
        <f t="shared" si="11"/>
        <v>3051.4723609608563</v>
      </c>
      <c r="C95" s="1">
        <f t="shared" si="12"/>
        <v>1749.349076676307</v>
      </c>
      <c r="D95" s="1">
        <f t="shared" si="13"/>
        <v>1302.1232842845493</v>
      </c>
      <c r="E95" s="1">
        <f t="shared" si="14"/>
        <v>239355.23752592769</v>
      </c>
      <c r="F95" s="2">
        <v>7.2690445485932287E-3</v>
      </c>
      <c r="G95" s="1">
        <f t="shared" si="17"/>
        <v>592.16930065612826</v>
      </c>
      <c r="H95" s="1">
        <f t="shared" si="15"/>
        <v>23.804426041723225</v>
      </c>
      <c r="I95" s="1">
        <f t="shared" si="18"/>
        <v>5436.0279627484269</v>
      </c>
      <c r="J95" s="1">
        <f t="shared" si="16"/>
        <v>0</v>
      </c>
    </row>
    <row r="96" spans="1:10" x14ac:dyDescent="0.45">
      <c r="A96">
        <f t="shared" si="10"/>
        <v>94</v>
      </c>
      <c r="B96" s="1">
        <f t="shared" si="11"/>
        <v>3051.4723609608563</v>
      </c>
      <c r="C96" s="1">
        <f t="shared" si="12"/>
        <v>1739.8838845150822</v>
      </c>
      <c r="D96" s="1">
        <f t="shared" si="13"/>
        <v>1311.5884764457742</v>
      </c>
      <c r="E96" s="1">
        <f t="shared" si="14"/>
        <v>238043.6490494819</v>
      </c>
      <c r="F96" s="2">
        <v>7.2690445485932287E-3</v>
      </c>
      <c r="G96" s="1">
        <f t="shared" si="17"/>
        <v>592.16930065612826</v>
      </c>
      <c r="H96" s="1">
        <f t="shared" si="15"/>
        <v>26.846487459031685</v>
      </c>
      <c r="I96" s="1">
        <f t="shared" si="18"/>
        <v>6055.0437508635869</v>
      </c>
      <c r="J96" s="1">
        <f t="shared" si="16"/>
        <v>0</v>
      </c>
    </row>
    <row r="97" spans="1:10" x14ac:dyDescent="0.45">
      <c r="A97">
        <f t="shared" si="10"/>
        <v>95</v>
      </c>
      <c r="B97" s="1">
        <f t="shared" si="11"/>
        <v>3051.4723609608563</v>
      </c>
      <c r="C97" s="1">
        <f t="shared" si="12"/>
        <v>1730.3498894503762</v>
      </c>
      <c r="D97" s="1">
        <f t="shared" si="13"/>
        <v>1321.1224715104802</v>
      </c>
      <c r="E97" s="1">
        <f t="shared" si="14"/>
        <v>236722.52657797141</v>
      </c>
      <c r="F97" s="2">
        <v>7.2690445485932287E-3</v>
      </c>
      <c r="G97" s="1">
        <f t="shared" si="17"/>
        <v>592.16930065612826</v>
      </c>
      <c r="H97" s="1">
        <f t="shared" si="15"/>
        <v>29.903572467875914</v>
      </c>
      <c r="I97" s="1">
        <f t="shared" si="18"/>
        <v>6677.1166239875911</v>
      </c>
      <c r="J97" s="1">
        <f t="shared" si="16"/>
        <v>0</v>
      </c>
    </row>
    <row r="98" spans="1:10" x14ac:dyDescent="0.45">
      <c r="A98">
        <f t="shared" si="10"/>
        <v>96</v>
      </c>
      <c r="B98" s="1">
        <f t="shared" si="11"/>
        <v>3051.4723609608563</v>
      </c>
      <c r="C98" s="1">
        <f t="shared" si="12"/>
        <v>1720.7465913508188</v>
      </c>
      <c r="D98" s="1">
        <f t="shared" si="13"/>
        <v>8632.9874495178519</v>
      </c>
      <c r="E98" s="1">
        <f t="shared" si="14"/>
        <v>228089.53912845356</v>
      </c>
      <c r="F98" s="2">
        <v>7.2690445485932287E-3</v>
      </c>
      <c r="G98" s="1">
        <f t="shared" si="17"/>
        <v>592.16930065612826</v>
      </c>
      <c r="H98" s="1">
        <f t="shared" si="15"/>
        <v>32.975755264096065</v>
      </c>
      <c r="I98" s="1">
        <f t="shared" si="18"/>
        <v>0</v>
      </c>
      <c r="J98" s="1">
        <f t="shared" si="16"/>
        <v>7302.2616799078151</v>
      </c>
    </row>
    <row r="99" spans="1:10" x14ac:dyDescent="0.45">
      <c r="A99">
        <f t="shared" si="10"/>
        <v>97</v>
      </c>
      <c r="B99" s="1">
        <f t="shared" si="11"/>
        <v>3051.4723609608563</v>
      </c>
      <c r="C99" s="1">
        <f t="shared" si="12"/>
        <v>1657.9930209928273</v>
      </c>
      <c r="D99" s="1">
        <f t="shared" si="13"/>
        <v>1393.4793399680291</v>
      </c>
      <c r="E99" s="1">
        <f t="shared" si="14"/>
        <v>226696.05978848552</v>
      </c>
      <c r="F99" s="2">
        <v>7.2690445485932287E-3</v>
      </c>
      <c r="G99" s="1">
        <f t="shared" si="17"/>
        <v>615.85607268237345</v>
      </c>
      <c r="H99" s="1">
        <f t="shared" si="15"/>
        <v>0</v>
      </c>
      <c r="I99" s="1">
        <f t="shared" si="18"/>
        <v>615.85607268237345</v>
      </c>
      <c r="J99" s="1">
        <f t="shared" si="16"/>
        <v>0</v>
      </c>
    </row>
    <row r="100" spans="1:10" x14ac:dyDescent="0.45">
      <c r="A100">
        <f t="shared" si="10"/>
        <v>98</v>
      </c>
      <c r="B100" s="1">
        <f t="shared" si="11"/>
        <v>3051.4723609608563</v>
      </c>
      <c r="C100" s="1">
        <f t="shared" si="12"/>
        <v>1647.8637575930554</v>
      </c>
      <c r="D100" s="1">
        <f t="shared" si="13"/>
        <v>1403.6086033678009</v>
      </c>
      <c r="E100" s="1">
        <f t="shared" si="14"/>
        <v>225292.45118511771</v>
      </c>
      <c r="F100" s="2">
        <v>7.2690445485932287E-3</v>
      </c>
      <c r="G100" s="1">
        <f t="shared" si="17"/>
        <v>615.85607268237345</v>
      </c>
      <c r="H100" s="1">
        <f t="shared" si="15"/>
        <v>3.0414803685955576</v>
      </c>
      <c r="I100" s="1">
        <f t="shared" si="18"/>
        <v>1234.7536257333425</v>
      </c>
      <c r="J100" s="1">
        <f t="shared" si="16"/>
        <v>0</v>
      </c>
    </row>
    <row r="101" spans="1:10" x14ac:dyDescent="0.45">
      <c r="A101">
        <f t="shared" si="10"/>
        <v>99</v>
      </c>
      <c r="B101" s="1">
        <f t="shared" si="11"/>
        <v>3051.4723609608563</v>
      </c>
      <c r="C101" s="1">
        <f t="shared" si="12"/>
        <v>1637.6608641263861</v>
      </c>
      <c r="D101" s="1">
        <f t="shared" si="13"/>
        <v>1413.8114968344703</v>
      </c>
      <c r="E101" s="1">
        <f t="shared" si="14"/>
        <v>223878.63968828323</v>
      </c>
      <c r="F101" s="2">
        <v>7.2690445485932287E-3</v>
      </c>
      <c r="G101" s="1">
        <f t="shared" si="17"/>
        <v>615.85607268237345</v>
      </c>
      <c r="H101" s="1">
        <f t="shared" si="15"/>
        <v>6.0979814591469141</v>
      </c>
      <c r="I101" s="1">
        <f t="shared" si="18"/>
        <v>1856.7076798748628</v>
      </c>
      <c r="J101" s="1">
        <f t="shared" si="16"/>
        <v>0</v>
      </c>
    </row>
    <row r="102" spans="1:10" x14ac:dyDescent="0.45">
      <c r="A102">
        <f t="shared" si="10"/>
        <v>100</v>
      </c>
      <c r="B102" s="1">
        <f t="shared" si="11"/>
        <v>3051.4723609608563</v>
      </c>
      <c r="C102" s="1">
        <f t="shared" si="12"/>
        <v>1627.3838053725829</v>
      </c>
      <c r="D102" s="1">
        <f t="shared" si="13"/>
        <v>1424.0885555882735</v>
      </c>
      <c r="E102" s="1">
        <f t="shared" si="14"/>
        <v>222454.55113269496</v>
      </c>
      <c r="F102" s="2">
        <v>7.2690445485932287E-3</v>
      </c>
      <c r="G102" s="1">
        <f t="shared" si="17"/>
        <v>615.85607268237345</v>
      </c>
      <c r="H102" s="1">
        <f t="shared" si="15"/>
        <v>9.1695774533224448</v>
      </c>
      <c r="I102" s="1">
        <f t="shared" si="18"/>
        <v>2481.7333300105588</v>
      </c>
      <c r="J102" s="1">
        <f t="shared" si="16"/>
        <v>0</v>
      </c>
    </row>
    <row r="103" spans="1:10" x14ac:dyDescent="0.45">
      <c r="A103">
        <f t="shared" si="10"/>
        <v>101</v>
      </c>
      <c r="B103" s="1">
        <f t="shared" si="11"/>
        <v>3051.4723609608563</v>
      </c>
      <c r="C103" s="1">
        <f t="shared" si="12"/>
        <v>1617.0320422208699</v>
      </c>
      <c r="D103" s="1">
        <f t="shared" si="13"/>
        <v>1434.4403187399864</v>
      </c>
      <c r="E103" s="1">
        <f t="shared" si="14"/>
        <v>221020.11081395499</v>
      </c>
      <c r="F103" s="2">
        <v>7.2690445485932287E-3</v>
      </c>
      <c r="G103" s="1">
        <f t="shared" si="17"/>
        <v>615.85607268237345</v>
      </c>
      <c r="H103" s="1">
        <f t="shared" si="15"/>
        <v>12.256342899145748</v>
      </c>
      <c r="I103" s="1">
        <f t="shared" si="18"/>
        <v>3109.8457455920779</v>
      </c>
      <c r="J103" s="1">
        <f t="shared" si="16"/>
        <v>0</v>
      </c>
    </row>
    <row r="104" spans="1:10" x14ac:dyDescent="0.45">
      <c r="A104">
        <f t="shared" si="10"/>
        <v>102</v>
      </c>
      <c r="B104" s="1">
        <f t="shared" si="11"/>
        <v>3051.4723609608563</v>
      </c>
      <c r="C104" s="1">
        <f t="shared" si="12"/>
        <v>1606.6050316416508</v>
      </c>
      <c r="D104" s="1">
        <f t="shared" si="13"/>
        <v>1444.8673293192055</v>
      </c>
      <c r="E104" s="1">
        <f t="shared" si="14"/>
        <v>219575.24348463578</v>
      </c>
      <c r="F104" s="2">
        <v>7.2690445485932287E-3</v>
      </c>
      <c r="G104" s="1">
        <f t="shared" si="17"/>
        <v>615.85607268237345</v>
      </c>
      <c r="H104" s="1">
        <f t="shared" si="15"/>
        <v>15.35835271280493</v>
      </c>
      <c r="I104" s="1">
        <f t="shared" si="18"/>
        <v>3741.0601709872562</v>
      </c>
      <c r="J104" s="1">
        <f t="shared" si="16"/>
        <v>0</v>
      </c>
    </row>
    <row r="105" spans="1:10" x14ac:dyDescent="0.45">
      <c r="A105">
        <f t="shared" si="10"/>
        <v>103</v>
      </c>
      <c r="B105" s="1">
        <f t="shared" si="11"/>
        <v>3051.4723609608563</v>
      </c>
      <c r="C105" s="1">
        <f t="shared" si="12"/>
        <v>1596.1022266580226</v>
      </c>
      <c r="D105" s="1">
        <f t="shared" si="13"/>
        <v>1455.3701343028338</v>
      </c>
      <c r="E105" s="1">
        <f t="shared" si="14"/>
        <v>218119.87335033296</v>
      </c>
      <c r="F105" s="2">
        <v>7.2690445485932287E-3</v>
      </c>
      <c r="G105" s="1">
        <f t="shared" si="17"/>
        <v>615.85607268237345</v>
      </c>
      <c r="H105" s="1">
        <f t="shared" si="15"/>
        <v>18.475682180470837</v>
      </c>
      <c r="I105" s="1">
        <f t="shared" si="18"/>
        <v>4375.391925850101</v>
      </c>
      <c r="J105" s="1">
        <f t="shared" si="16"/>
        <v>0</v>
      </c>
    </row>
    <row r="106" spans="1:10" x14ac:dyDescent="0.45">
      <c r="A106">
        <f t="shared" si="10"/>
        <v>104</v>
      </c>
      <c r="B106" s="1">
        <f t="shared" si="11"/>
        <v>3051.4723609608563</v>
      </c>
      <c r="C106" s="1">
        <f t="shared" si="12"/>
        <v>1585.5230763170832</v>
      </c>
      <c r="D106" s="1">
        <f t="shared" si="13"/>
        <v>1465.9492846437731</v>
      </c>
      <c r="E106" s="1">
        <f t="shared" si="14"/>
        <v>216653.92406568918</v>
      </c>
      <c r="F106" s="2">
        <v>7.2690445485932287E-3</v>
      </c>
      <c r="G106" s="1">
        <f t="shared" si="17"/>
        <v>615.85607268237345</v>
      </c>
      <c r="H106" s="1">
        <f t="shared" si="15"/>
        <v>21.608406960124263</v>
      </c>
      <c r="I106" s="1">
        <f t="shared" si="18"/>
        <v>5012.8564054925982</v>
      </c>
      <c r="J106" s="1">
        <f t="shared" si="16"/>
        <v>0</v>
      </c>
    </row>
    <row r="107" spans="1:10" x14ac:dyDescent="0.45">
      <c r="A107">
        <f t="shared" si="10"/>
        <v>105</v>
      </c>
      <c r="B107" s="1">
        <f t="shared" si="11"/>
        <v>3051.4723609608563</v>
      </c>
      <c r="C107" s="1">
        <f t="shared" si="12"/>
        <v>1574.8670256610292</v>
      </c>
      <c r="D107" s="1">
        <f t="shared" si="13"/>
        <v>1476.6053352998272</v>
      </c>
      <c r="E107" s="1">
        <f t="shared" si="14"/>
        <v>215177.31873038935</v>
      </c>
      <c r="F107" s="2">
        <v>7.2690445485932287E-3</v>
      </c>
      <c r="G107" s="1">
        <f t="shared" si="17"/>
        <v>615.85607268237345</v>
      </c>
      <c r="H107" s="1">
        <f t="shared" si="15"/>
        <v>24.756603083392157</v>
      </c>
      <c r="I107" s="1">
        <f t="shared" si="18"/>
        <v>5653.469081258364</v>
      </c>
      <c r="J107" s="1">
        <f t="shared" si="16"/>
        <v>0</v>
      </c>
    </row>
    <row r="108" spans="1:10" x14ac:dyDescent="0.45">
      <c r="A108">
        <f t="shared" si="10"/>
        <v>106</v>
      </c>
      <c r="B108" s="1">
        <f t="shared" si="11"/>
        <v>3051.4723609608563</v>
      </c>
      <c r="C108" s="1">
        <f t="shared" si="12"/>
        <v>1564.1335156980444</v>
      </c>
      <c r="D108" s="1">
        <f t="shared" si="13"/>
        <v>1487.3388452628119</v>
      </c>
      <c r="E108" s="1">
        <f t="shared" si="14"/>
        <v>213689.97988512655</v>
      </c>
      <c r="F108" s="2">
        <v>7.2690445485932287E-3</v>
      </c>
      <c r="G108" s="1">
        <f t="shared" si="17"/>
        <v>615.85607268237345</v>
      </c>
      <c r="H108" s="1">
        <f t="shared" si="15"/>
        <v>27.920346957392951</v>
      </c>
      <c r="I108" s="1">
        <f t="shared" si="18"/>
        <v>6297.2455008981306</v>
      </c>
      <c r="J108" s="1">
        <f t="shared" si="16"/>
        <v>0</v>
      </c>
    </row>
    <row r="109" spans="1:10" x14ac:dyDescent="0.45">
      <c r="A109">
        <f t="shared" si="10"/>
        <v>107</v>
      </c>
      <c r="B109" s="1">
        <f t="shared" si="11"/>
        <v>3051.4723609608563</v>
      </c>
      <c r="C109" s="1">
        <f t="shared" si="12"/>
        <v>1553.3219833729759</v>
      </c>
      <c r="D109" s="1">
        <f t="shared" si="13"/>
        <v>1498.1503775878805</v>
      </c>
      <c r="E109" s="1">
        <f t="shared" si="14"/>
        <v>212191.82950753867</v>
      </c>
      <c r="F109" s="2">
        <v>7.2690445485932287E-3</v>
      </c>
      <c r="G109" s="1">
        <f t="shared" si="17"/>
        <v>615.85607268237345</v>
      </c>
      <c r="H109" s="1">
        <f t="shared" si="15"/>
        <v>31.099715366590953</v>
      </c>
      <c r="I109" s="1">
        <f t="shared" si="18"/>
        <v>6944.2012889470952</v>
      </c>
      <c r="J109" s="1">
        <f t="shared" si="16"/>
        <v>0</v>
      </c>
    </row>
    <row r="110" spans="1:10" x14ac:dyDescent="0.45">
      <c r="A110">
        <f t="shared" si="10"/>
        <v>108</v>
      </c>
      <c r="B110" s="1">
        <f t="shared" si="11"/>
        <v>3051.4723609608563</v>
      </c>
      <c r="C110" s="1">
        <f t="shared" si="12"/>
        <v>1542.4318615377979</v>
      </c>
      <c r="D110" s="1">
        <f t="shared" si="13"/>
        <v>8832.5741657291146</v>
      </c>
      <c r="E110" s="1">
        <f t="shared" si="14"/>
        <v>203359.25534180956</v>
      </c>
      <c r="F110" s="2">
        <v>7.2690445485932287E-3</v>
      </c>
      <c r="G110" s="1">
        <f t="shared" si="17"/>
        <v>615.85607268237345</v>
      </c>
      <c r="H110" s="1">
        <f t="shared" si="15"/>
        <v>34.294785474659911</v>
      </c>
      <c r="I110" s="1">
        <f t="shared" si="18"/>
        <v>270.81848079807241</v>
      </c>
      <c r="J110" s="1">
        <f t="shared" si="16"/>
        <v>7323.5336663060561</v>
      </c>
    </row>
    <row r="111" spans="1:10" x14ac:dyDescent="0.45">
      <c r="A111">
        <f t="shared" si="10"/>
        <v>109</v>
      </c>
      <c r="B111" s="1">
        <f t="shared" si="11"/>
        <v>3051.4723609608563</v>
      </c>
      <c r="C111" s="1">
        <f t="shared" si="12"/>
        <v>1478.2274864483593</v>
      </c>
      <c r="D111" s="1">
        <f t="shared" si="13"/>
        <v>1573.2448745124971</v>
      </c>
      <c r="E111" s="1">
        <f t="shared" si="14"/>
        <v>201786.01046729708</v>
      </c>
      <c r="F111" s="2">
        <v>7.2690445485932287E-3</v>
      </c>
      <c r="G111" s="1">
        <f t="shared" si="17"/>
        <v>640.4903155896684</v>
      </c>
      <c r="H111" s="1">
        <f t="shared" si="15"/>
        <v>1.3374701157246303</v>
      </c>
      <c r="I111" s="1">
        <f t="shared" si="18"/>
        <v>912.64626650346543</v>
      </c>
      <c r="J111" s="1">
        <f t="shared" si="16"/>
        <v>0</v>
      </c>
    </row>
    <row r="112" spans="1:10" x14ac:dyDescent="0.45">
      <c r="A112">
        <f t="shared" si="10"/>
        <v>110</v>
      </c>
      <c r="B112" s="1">
        <f t="shared" si="11"/>
        <v>3051.4723609608563</v>
      </c>
      <c r="C112" s="1">
        <f t="shared" si="12"/>
        <v>1466.791499369682</v>
      </c>
      <c r="D112" s="1">
        <f t="shared" si="13"/>
        <v>1584.6808615911743</v>
      </c>
      <c r="E112" s="1">
        <f t="shared" si="14"/>
        <v>200201.32960570589</v>
      </c>
      <c r="F112" s="2">
        <v>7.2690445485932287E-3</v>
      </c>
      <c r="G112" s="1">
        <f t="shared" si="17"/>
        <v>640.4903155896684</v>
      </c>
      <c r="H112" s="1">
        <f t="shared" si="15"/>
        <v>4.507214958443595</v>
      </c>
      <c r="I112" s="1">
        <f t="shared" si="18"/>
        <v>1557.6437970515774</v>
      </c>
      <c r="J112" s="1">
        <f t="shared" si="16"/>
        <v>0</v>
      </c>
    </row>
    <row r="113" spans="1:10" x14ac:dyDescent="0.45">
      <c r="A113">
        <f t="shared" si="10"/>
        <v>111</v>
      </c>
      <c r="B113" s="1">
        <f t="shared" si="11"/>
        <v>3051.4723609608563</v>
      </c>
      <c r="C113" s="1">
        <f t="shared" si="12"/>
        <v>1455.2723835914726</v>
      </c>
      <c r="D113" s="1">
        <f t="shared" si="13"/>
        <v>1596.1999773693838</v>
      </c>
      <c r="E113" s="1">
        <f t="shared" si="14"/>
        <v>198605.12962833649</v>
      </c>
      <c r="F113" s="2">
        <v>7.2690445485932287E-3</v>
      </c>
      <c r="G113" s="1">
        <f t="shared" si="17"/>
        <v>640.4903155896684</v>
      </c>
      <c r="H113" s="1">
        <f t="shared" si="15"/>
        <v>7.6926139728760852</v>
      </c>
      <c r="I113" s="1">
        <f t="shared" si="18"/>
        <v>2205.826726614122</v>
      </c>
      <c r="J113" s="1">
        <f t="shared" si="16"/>
        <v>0</v>
      </c>
    </row>
    <row r="114" spans="1:10" x14ac:dyDescent="0.45">
      <c r="A114">
        <f t="shared" si="10"/>
        <v>112</v>
      </c>
      <c r="B114" s="1">
        <f t="shared" si="11"/>
        <v>3051.4723609608563</v>
      </c>
      <c r="C114" s="1">
        <f t="shared" si="12"/>
        <v>1443.6695348475109</v>
      </c>
      <c r="D114" s="1">
        <f t="shared" si="13"/>
        <v>1607.8028261133454</v>
      </c>
      <c r="E114" s="1">
        <f t="shared" si="14"/>
        <v>196997.32680222314</v>
      </c>
      <c r="F114" s="2">
        <v>7.2690445485932287E-3</v>
      </c>
      <c r="G114" s="1">
        <f t="shared" si="17"/>
        <v>640.4903155896684</v>
      </c>
      <c r="H114" s="1">
        <f t="shared" si="15"/>
        <v>10.893744469059405</v>
      </c>
      <c r="I114" s="1">
        <f t="shared" si="18"/>
        <v>2857.2107866728497</v>
      </c>
      <c r="J114" s="1">
        <f t="shared" si="16"/>
        <v>0</v>
      </c>
    </row>
    <row r="115" spans="1:10" x14ac:dyDescent="0.45">
      <c r="A115">
        <f t="shared" si="10"/>
        <v>113</v>
      </c>
      <c r="B115" s="1">
        <f t="shared" si="11"/>
        <v>3051.4723609608563</v>
      </c>
      <c r="C115" s="1">
        <f t="shared" si="12"/>
        <v>1431.9823444791389</v>
      </c>
      <c r="D115" s="1">
        <f t="shared" si="13"/>
        <v>1619.4900164817175</v>
      </c>
      <c r="E115" s="1">
        <f t="shared" si="14"/>
        <v>195377.83678574141</v>
      </c>
      <c r="F115" s="2">
        <v>7.2690445485932287E-3</v>
      </c>
      <c r="G115" s="1">
        <f t="shared" si="17"/>
        <v>640.4903155896684</v>
      </c>
      <c r="H115" s="1">
        <f t="shared" si="15"/>
        <v>14.110684138835911</v>
      </c>
      <c r="I115" s="1">
        <f t="shared" si="18"/>
        <v>3511.8117864013543</v>
      </c>
      <c r="J115" s="1">
        <f t="shared" si="16"/>
        <v>0</v>
      </c>
    </row>
    <row r="116" spans="1:10" x14ac:dyDescent="0.45">
      <c r="A116">
        <f t="shared" si="10"/>
        <v>114</v>
      </c>
      <c r="B116" s="1">
        <f t="shared" si="11"/>
        <v>3051.4723609608563</v>
      </c>
      <c r="C116" s="1">
        <f t="shared" si="12"/>
        <v>1420.2101994033312</v>
      </c>
      <c r="D116" s="1">
        <f t="shared" si="13"/>
        <v>1631.2621615575251</v>
      </c>
      <c r="E116" s="1">
        <f t="shared" si="14"/>
        <v>193746.57462418388</v>
      </c>
      <c r="F116" s="2">
        <v>7.2690445485932287E-3</v>
      </c>
      <c r="G116" s="1">
        <f t="shared" si="17"/>
        <v>640.4903155896684</v>
      </c>
      <c r="H116" s="1">
        <f t="shared" si="15"/>
        <v>17.343511057738606</v>
      </c>
      <c r="I116" s="1">
        <f t="shared" si="18"/>
        <v>4169.6456130487613</v>
      </c>
      <c r="J116" s="1">
        <f t="shared" si="16"/>
        <v>0</v>
      </c>
    </row>
    <row r="117" spans="1:10" x14ac:dyDescent="0.45">
      <c r="A117">
        <f t="shared" si="10"/>
        <v>115</v>
      </c>
      <c r="B117" s="1">
        <f t="shared" si="11"/>
        <v>3051.4723609608563</v>
      </c>
      <c r="C117" s="1">
        <f t="shared" si="12"/>
        <v>1408.3524820805351</v>
      </c>
      <c r="D117" s="1">
        <f t="shared" si="13"/>
        <v>1643.1198788803213</v>
      </c>
      <c r="E117" s="1">
        <f t="shared" si="14"/>
        <v>192103.45474530355</v>
      </c>
      <c r="F117" s="2">
        <v>7.2690445485932287E-3</v>
      </c>
      <c r="G117" s="1">
        <f t="shared" si="17"/>
        <v>640.4903155896684</v>
      </c>
      <c r="H117" s="1">
        <f t="shared" si="15"/>
        <v>20.592303686886041</v>
      </c>
      <c r="I117" s="1">
        <f t="shared" si="18"/>
        <v>4830.7282323253157</v>
      </c>
      <c r="J117" s="1">
        <f t="shared" si="16"/>
        <v>0</v>
      </c>
    </row>
    <row r="118" spans="1:10" x14ac:dyDescent="0.45">
      <c r="A118">
        <f t="shared" si="10"/>
        <v>116</v>
      </c>
      <c r="B118" s="1">
        <f t="shared" si="11"/>
        <v>3051.4723609608563</v>
      </c>
      <c r="C118" s="1">
        <f t="shared" si="12"/>
        <v>1396.4085704822749</v>
      </c>
      <c r="D118" s="1">
        <f t="shared" si="13"/>
        <v>1655.0637904785815</v>
      </c>
      <c r="E118" s="1">
        <f t="shared" si="14"/>
        <v>190448.39095482498</v>
      </c>
      <c r="F118" s="2">
        <v>7.2690445485932287E-3</v>
      </c>
      <c r="G118" s="1">
        <f t="shared" si="17"/>
        <v>640.4903155896684</v>
      </c>
      <c r="H118" s="1">
        <f t="shared" si="15"/>
        <v>23.857140874886575</v>
      </c>
      <c r="I118" s="1">
        <f t="shared" si="18"/>
        <v>5495.0756887898706</v>
      </c>
      <c r="J118" s="1">
        <f t="shared" si="16"/>
        <v>0</v>
      </c>
    </row>
    <row r="119" spans="1:10" x14ac:dyDescent="0.45">
      <c r="A119">
        <f t="shared" si="10"/>
        <v>117</v>
      </c>
      <c r="B119" s="1">
        <f t="shared" si="11"/>
        <v>3051.4723609608563</v>
      </c>
      <c r="C119" s="1">
        <f t="shared" si="12"/>
        <v>1384.3778380585225</v>
      </c>
      <c r="D119" s="1">
        <f t="shared" si="13"/>
        <v>1667.0945229023339</v>
      </c>
      <c r="E119" s="1">
        <f t="shared" si="14"/>
        <v>188781.29643192264</v>
      </c>
      <c r="F119" s="2">
        <v>7.2690445485932287E-3</v>
      </c>
      <c r="G119" s="1">
        <f t="shared" si="17"/>
        <v>640.4903155896684</v>
      </c>
      <c r="H119" s="1">
        <f t="shared" si="15"/>
        <v>27.138101859752037</v>
      </c>
      <c r="I119" s="1">
        <f t="shared" si="18"/>
        <v>6162.7041062392909</v>
      </c>
      <c r="J119" s="1">
        <f t="shared" si="16"/>
        <v>0</v>
      </c>
    </row>
    <row r="120" spans="1:10" x14ac:dyDescent="0.45">
      <c r="A120">
        <f t="shared" si="10"/>
        <v>118</v>
      </c>
      <c r="B120" s="1">
        <f t="shared" si="11"/>
        <v>3051.4723609608563</v>
      </c>
      <c r="C120" s="1">
        <f t="shared" si="12"/>
        <v>1372.2596537048296</v>
      </c>
      <c r="D120" s="1">
        <f t="shared" si="13"/>
        <v>1679.2127072560268</v>
      </c>
      <c r="E120" s="1">
        <f t="shared" si="14"/>
        <v>187102.08372466662</v>
      </c>
      <c r="F120" s="2">
        <v>7.2690445485932287E-3</v>
      </c>
      <c r="G120" s="1">
        <f t="shared" si="17"/>
        <v>640.4903155896684</v>
      </c>
      <c r="H120" s="1">
        <f t="shared" si="15"/>
        <v>30.435266270820854</v>
      </c>
      <c r="I120" s="1">
        <f t="shared" si="18"/>
        <v>6833.6296880997797</v>
      </c>
      <c r="J120" s="1">
        <f t="shared" si="16"/>
        <v>0</v>
      </c>
    </row>
    <row r="121" spans="1:10" x14ac:dyDescent="0.45">
      <c r="A121">
        <f t="shared" si="10"/>
        <v>119</v>
      </c>
      <c r="B121" s="1">
        <f t="shared" si="11"/>
        <v>3051.4723609608563</v>
      </c>
      <c r="C121" s="1">
        <f t="shared" si="12"/>
        <v>1360.0533817292217</v>
      </c>
      <c r="D121" s="1">
        <f t="shared" si="13"/>
        <v>1691.4189792316347</v>
      </c>
      <c r="E121" s="1">
        <f t="shared" si="14"/>
        <v>185410.66474543497</v>
      </c>
      <c r="F121" s="2">
        <v>7.2690445485932287E-3</v>
      </c>
      <c r="G121" s="1">
        <f t="shared" si="17"/>
        <v>640.4903155896684</v>
      </c>
      <c r="H121" s="1">
        <f t="shared" si="15"/>
        <v>33.748714130690651</v>
      </c>
      <c r="I121" s="1">
        <f t="shared" si="18"/>
        <v>7507.868717820139</v>
      </c>
      <c r="J121" s="1">
        <f t="shared" si="16"/>
        <v>0</v>
      </c>
    </row>
    <row r="122" spans="1:10" x14ac:dyDescent="0.45">
      <c r="A122">
        <f t="shared" si="10"/>
        <v>120</v>
      </c>
      <c r="B122" s="1">
        <f t="shared" si="11"/>
        <v>3051.4723609608563</v>
      </c>
      <c r="C122" s="1">
        <f t="shared" si="12"/>
        <v>1347.7583818188509</v>
      </c>
      <c r="D122" s="1">
        <f t="shared" si="13"/>
        <v>9027.247645448062</v>
      </c>
      <c r="E122" s="1">
        <f t="shared" si="14"/>
        <v>176383.41709998692</v>
      </c>
      <c r="F122" s="2">
        <v>7.2690445485932287E-3</v>
      </c>
      <c r="G122" s="1">
        <f t="shared" si="17"/>
        <v>640.4903155896684</v>
      </c>
      <c r="H122" s="1">
        <f t="shared" si="15"/>
        <v>37.078525857160422</v>
      </c>
      <c r="I122" s="1">
        <f t="shared" si="18"/>
        <v>861.90389296091143</v>
      </c>
      <c r="J122" s="1">
        <f t="shared" si="16"/>
        <v>7323.5336663060561</v>
      </c>
    </row>
    <row r="123" spans="1:10" x14ac:dyDescent="0.45">
      <c r="A123">
        <f t="shared" si="10"/>
        <v>121</v>
      </c>
      <c r="B123" s="1">
        <f t="shared" si="11"/>
        <v>3051.4723609608563</v>
      </c>
      <c r="C123" s="1">
        <f t="shared" si="12"/>
        <v>1282.1389165329056</v>
      </c>
      <c r="D123" s="1">
        <f t="shared" si="13"/>
        <v>1769.3334444279508</v>
      </c>
      <c r="E123" s="1">
        <f t="shared" si="14"/>
        <v>174614.08365555896</v>
      </c>
      <c r="F123" s="2">
        <v>7.2690445485932287E-3</v>
      </c>
      <c r="G123" s="1">
        <f t="shared" si="17"/>
        <v>666.1099282132551</v>
      </c>
      <c r="H123" s="1">
        <f t="shared" si="15"/>
        <v>4.2566175545511165</v>
      </c>
      <c r="I123" s="1">
        <f t="shared" si="18"/>
        <v>1532.2704387287176</v>
      </c>
      <c r="J123" s="1">
        <f t="shared" si="16"/>
        <v>0</v>
      </c>
    </row>
    <row r="124" spans="1:10" x14ac:dyDescent="0.45">
      <c r="A124">
        <f t="shared" si="10"/>
        <v>122</v>
      </c>
      <c r="B124" s="1">
        <f t="shared" si="11"/>
        <v>3051.4723609608563</v>
      </c>
      <c r="C124" s="1">
        <f t="shared" si="12"/>
        <v>1269.277552904043</v>
      </c>
      <c r="D124" s="1">
        <f t="shared" si="13"/>
        <v>1782.1948080568134</v>
      </c>
      <c r="E124" s="1">
        <f t="shared" si="14"/>
        <v>172831.88884750215</v>
      </c>
      <c r="F124" s="2">
        <v>7.2690445485932287E-3</v>
      </c>
      <c r="G124" s="1">
        <f t="shared" si="17"/>
        <v>666.1099282132551</v>
      </c>
      <c r="H124" s="1">
        <f t="shared" si="15"/>
        <v>7.5673045464573567</v>
      </c>
      <c r="I124" s="1">
        <f t="shared" si="18"/>
        <v>2205.9476714884299</v>
      </c>
      <c r="J124" s="1">
        <f t="shared" si="16"/>
        <v>0</v>
      </c>
    </row>
    <row r="125" spans="1:10" x14ac:dyDescent="0.45">
      <c r="A125">
        <f t="shared" si="10"/>
        <v>123</v>
      </c>
      <c r="B125" s="1">
        <f t="shared" si="11"/>
        <v>3051.4723609608563</v>
      </c>
      <c r="C125" s="1">
        <f t="shared" si="12"/>
        <v>1256.3226994500064</v>
      </c>
      <c r="D125" s="1">
        <f t="shared" si="13"/>
        <v>1795.1496615108499</v>
      </c>
      <c r="E125" s="1">
        <f t="shared" si="14"/>
        <v>171036.73918599129</v>
      </c>
      <c r="F125" s="2">
        <v>7.2690445485932287E-3</v>
      </c>
      <c r="G125" s="1">
        <f t="shared" si="17"/>
        <v>666.1099282132551</v>
      </c>
      <c r="H125" s="1">
        <f t="shared" si="15"/>
        <v>10.894341770080223</v>
      </c>
      <c r="I125" s="1">
        <f t="shared" si="18"/>
        <v>2882.9519414717652</v>
      </c>
      <c r="J125" s="1">
        <f t="shared" si="16"/>
        <v>0</v>
      </c>
    </row>
    <row r="126" spans="1:10" x14ac:dyDescent="0.45">
      <c r="A126">
        <f t="shared" si="10"/>
        <v>124</v>
      </c>
      <c r="B126" s="1">
        <f t="shared" si="11"/>
        <v>3051.4723609608563</v>
      </c>
      <c r="C126" s="1">
        <f t="shared" si="12"/>
        <v>1243.2736765890918</v>
      </c>
      <c r="D126" s="1">
        <f t="shared" si="13"/>
        <v>1808.1986843717646</v>
      </c>
      <c r="E126" s="1">
        <f t="shared" si="14"/>
        <v>169228.54050161951</v>
      </c>
      <c r="F126" s="2">
        <v>7.2690445485932287E-3</v>
      </c>
      <c r="G126" s="1">
        <f t="shared" si="17"/>
        <v>666.1099282132551</v>
      </c>
      <c r="H126" s="1">
        <f t="shared" si="15"/>
        <v>14.237809973034283</v>
      </c>
      <c r="I126" s="1">
        <f t="shared" si="18"/>
        <v>3563.2996796580546</v>
      </c>
      <c r="J126" s="1">
        <f t="shared" si="16"/>
        <v>0</v>
      </c>
    </row>
    <row r="127" spans="1:10" x14ac:dyDescent="0.45">
      <c r="A127">
        <f t="shared" si="10"/>
        <v>125</v>
      </c>
      <c r="B127" s="1">
        <f t="shared" si="11"/>
        <v>3051.4723609608563</v>
      </c>
      <c r="C127" s="1">
        <f t="shared" si="12"/>
        <v>1230.1297997996858</v>
      </c>
      <c r="D127" s="1">
        <f t="shared" si="13"/>
        <v>1821.3425611611706</v>
      </c>
      <c r="E127" s="1">
        <f t="shared" si="14"/>
        <v>167407.19794045834</v>
      </c>
      <c r="F127" s="2">
        <v>7.2690445485932287E-3</v>
      </c>
      <c r="G127" s="1">
        <f t="shared" si="17"/>
        <v>666.1099282132551</v>
      </c>
      <c r="H127" s="1">
        <f t="shared" si="15"/>
        <v>17.59779030171606</v>
      </c>
      <c r="I127" s="1">
        <f t="shared" si="18"/>
        <v>4247.0073981730266</v>
      </c>
      <c r="J127" s="1">
        <f t="shared" si="16"/>
        <v>0</v>
      </c>
    </row>
    <row r="128" spans="1:10" x14ac:dyDescent="0.45">
      <c r="A128">
        <f t="shared" si="10"/>
        <v>126</v>
      </c>
      <c r="B128" s="1">
        <f t="shared" si="11"/>
        <v>3051.4723609608563</v>
      </c>
      <c r="C128" s="1">
        <f t="shared" si="12"/>
        <v>1216.8903795843562</v>
      </c>
      <c r="D128" s="1">
        <f t="shared" si="13"/>
        <v>1834.5819813765002</v>
      </c>
      <c r="E128" s="1">
        <f t="shared" si="14"/>
        <v>165572.61595908183</v>
      </c>
      <c r="F128" s="2">
        <v>7.2690445485932287E-3</v>
      </c>
      <c r="G128" s="1">
        <f t="shared" si="17"/>
        <v>666.1099282132551</v>
      </c>
      <c r="H128" s="1">
        <f t="shared" si="15"/>
        <v>20.974364303273457</v>
      </c>
      <c r="I128" s="1">
        <f t="shared" si="18"/>
        <v>4934.0916906895554</v>
      </c>
      <c r="J128" s="1">
        <f t="shared" si="16"/>
        <v>0</v>
      </c>
    </row>
    <row r="129" spans="1:10" x14ac:dyDescent="0.45">
      <c r="A129">
        <f t="shared" si="10"/>
        <v>127</v>
      </c>
      <c r="B129" s="1">
        <f t="shared" si="11"/>
        <v>3051.4723609608563</v>
      </c>
      <c r="C129" s="1">
        <f t="shared" si="12"/>
        <v>1203.5547214336839</v>
      </c>
      <c r="D129" s="1">
        <f t="shared" si="13"/>
        <v>1847.9176395271725</v>
      </c>
      <c r="E129" s="1">
        <f t="shared" si="14"/>
        <v>163724.69831955465</v>
      </c>
      <c r="F129" s="2">
        <v>7.2690445485932287E-3</v>
      </c>
      <c r="G129" s="1">
        <f t="shared" si="17"/>
        <v>666.1099282132551</v>
      </c>
      <c r="H129" s="1">
        <f t="shared" si="15"/>
        <v>24.367613927584909</v>
      </c>
      <c r="I129" s="1">
        <f t="shared" si="18"/>
        <v>5624.5692328303958</v>
      </c>
      <c r="J129" s="1">
        <f t="shared" si="16"/>
        <v>0</v>
      </c>
    </row>
    <row r="130" spans="1:10" x14ac:dyDescent="0.45">
      <c r="A130">
        <f t="shared" si="10"/>
        <v>128</v>
      </c>
      <c r="B130" s="1">
        <f t="shared" si="11"/>
        <v>3051.4723609608563</v>
      </c>
      <c r="C130" s="1">
        <f t="shared" si="12"/>
        <v>1190.1221257898296</v>
      </c>
      <c r="D130" s="1">
        <f t="shared" si="13"/>
        <v>1861.3502351710267</v>
      </c>
      <c r="E130" s="1">
        <f t="shared" si="14"/>
        <v>161863.34808438362</v>
      </c>
      <c r="F130" s="2">
        <v>7.2690445485932287E-3</v>
      </c>
      <c r="G130" s="1">
        <f t="shared" si="17"/>
        <v>666.1099282132551</v>
      </c>
      <c r="H130" s="1">
        <f t="shared" si="15"/>
        <v>27.777621529248339</v>
      </c>
      <c r="I130" s="1">
        <f t="shared" si="18"/>
        <v>6318.4567825729</v>
      </c>
      <c r="J130" s="1">
        <f t="shared" si="16"/>
        <v>0</v>
      </c>
    </row>
    <row r="131" spans="1:10" x14ac:dyDescent="0.45">
      <c r="A131">
        <f t="shared" si="10"/>
        <v>129</v>
      </c>
      <c r="B131" s="1">
        <f t="shared" si="11"/>
        <v>3051.4723609608563</v>
      </c>
      <c r="C131" s="1">
        <f t="shared" si="12"/>
        <v>1176.591888009837</v>
      </c>
      <c r="D131" s="1">
        <f t="shared" si="13"/>
        <v>1874.8804729510193</v>
      </c>
      <c r="E131" s="1">
        <f t="shared" si="14"/>
        <v>159988.4676114326</v>
      </c>
      <c r="F131" s="2">
        <v>7.2690445485932287E-3</v>
      </c>
      <c r="G131" s="1">
        <f t="shared" si="17"/>
        <v>666.1099282132551</v>
      </c>
      <c r="H131" s="1">
        <f t="shared" si="15"/>
        <v>31.204469869579892</v>
      </c>
      <c r="I131" s="1">
        <f t="shared" si="18"/>
        <v>7015.7711806557354</v>
      </c>
      <c r="J131" s="1">
        <f t="shared" si="16"/>
        <v>0</v>
      </c>
    </row>
    <row r="132" spans="1:10" x14ac:dyDescent="0.45">
      <c r="A132">
        <f t="shared" ref="A132:A195" si="19">IF(A131&lt;$O$2*12, A131+1, "")</f>
        <v>130</v>
      </c>
      <c r="B132" s="1">
        <f t="shared" ref="B132:B195" si="20">IF(A132&gt;$O$2*12, "",IF(AND(A132&lt;=$O$2*12,$O$33="T"), $E$2*$O$21/(1-1/((1+$O$21)^($O$2*12))), IF(AND(A132&lt;=$O$2*12,MOD(A132-1,12*$O$3)&lt;&gt;0),B131,IF(AND(A132&lt;=$O$2*12,MOD(A132-1,12*$O$3)=0), E131*F131/(1-1/((1+F131)^($O$2*12-A131))),""))))</f>
        <v>3051.4723609608563</v>
      </c>
      <c r="C132" s="1">
        <f t="shared" ref="C132:C195" si="21">IF(A132&lt;=$O$2*12,F131*E131,"")</f>
        <v>1162.9632983286685</v>
      </c>
      <c r="D132" s="1">
        <f t="shared" ref="D132:D195" si="22">IF(A132&lt;=$O$2*12, B132-C132+J132,"")</f>
        <v>1888.5090626321878</v>
      </c>
      <c r="E132" s="1">
        <f t="shared" ref="E132:E195" si="23">IF(A132&lt;=($O$2*12), E131-D132, "")</f>
        <v>158099.95854880041</v>
      </c>
      <c r="F132" s="2">
        <v>7.2690445485932287E-3</v>
      </c>
      <c r="G132" s="1">
        <f t="shared" si="17"/>
        <v>666.1099282132551</v>
      </c>
      <c r="H132" s="1">
        <f t="shared" ref="H132:H195" si="24">IF(A132&lt;=$O$2*12, I131*(($O$7/2+1)^(1/6)-1), "")</f>
        <v>34.648242118622576</v>
      </c>
      <c r="I132" s="1">
        <f t="shared" si="18"/>
        <v>7716.5293509876137</v>
      </c>
      <c r="J132" s="1">
        <f t="shared" ref="J132:J195" si="25">IF(A132&gt;$O$2*12, "",IF(MOD(A132, 12) &lt;&gt; 0, 0, IF(I131+H132+G132&gt;B132*12*$O$5, 12*B132*$O$5, IF(I131+H132+G132&lt;=B132*12*$O$5, I131+H132+G132, ""))))</f>
        <v>0</v>
      </c>
    </row>
    <row r="133" spans="1:10" x14ac:dyDescent="0.45">
      <c r="A133">
        <f t="shared" si="19"/>
        <v>131</v>
      </c>
      <c r="B133" s="1">
        <f t="shared" si="20"/>
        <v>3051.4723609608563</v>
      </c>
      <c r="C133" s="1">
        <f t="shared" si="21"/>
        <v>1149.2356418219731</v>
      </c>
      <c r="D133" s="1">
        <f t="shared" si="22"/>
        <v>1902.2367191388832</v>
      </c>
      <c r="E133" s="1">
        <f t="shared" si="23"/>
        <v>156197.72182966152</v>
      </c>
      <c r="F133" s="2">
        <v>7.2690445485932287E-3</v>
      </c>
      <c r="G133" s="1">
        <f t="shared" ref="G133:G196" si="26">IF(A133&gt;$O$2*12, "", IF(MOD(A133-1, 12) = 0, G132*(1+$O$8), G132))</f>
        <v>666.1099282132551</v>
      </c>
      <c r="H133" s="1">
        <f t="shared" si="24"/>
        <v>38.109021857164805</v>
      </c>
      <c r="I133" s="1">
        <f t="shared" ref="I133:I196" si="27">IF(A133&gt;$O$2*12, "", IF(MOD(A133, 12) &lt;&gt; 0, I132+G133+H133, I132+G133+H133-J133))</f>
        <v>8420.7483010580327</v>
      </c>
      <c r="J133" s="1">
        <f t="shared" si="25"/>
        <v>0</v>
      </c>
    </row>
    <row r="134" spans="1:10" x14ac:dyDescent="0.45">
      <c r="A134">
        <f t="shared" si="19"/>
        <v>132</v>
      </c>
      <c r="B134" s="1">
        <f t="shared" si="20"/>
        <v>3051.4723609608563</v>
      </c>
      <c r="C134" s="1">
        <f t="shared" si="21"/>
        <v>1135.4081983685826</v>
      </c>
      <c r="D134" s="1">
        <f t="shared" si="22"/>
        <v>9239.5978288983297</v>
      </c>
      <c r="E134" s="1">
        <f t="shared" si="23"/>
        <v>146958.1240007632</v>
      </c>
      <c r="F134" s="2">
        <v>7.2690445485932287E-3</v>
      </c>
      <c r="G134" s="1">
        <f t="shared" si="26"/>
        <v>666.1099282132551</v>
      </c>
      <c r="H134" s="1">
        <f t="shared" si="24"/>
        <v>41.586893078768917</v>
      </c>
      <c r="I134" s="1">
        <f t="shared" si="27"/>
        <v>1804.9114560440003</v>
      </c>
      <c r="J134" s="1">
        <f t="shared" si="25"/>
        <v>7323.5336663060561</v>
      </c>
    </row>
    <row r="135" spans="1:10" x14ac:dyDescent="0.45">
      <c r="A135">
        <f t="shared" si="19"/>
        <v>133</v>
      </c>
      <c r="B135" s="1">
        <f t="shared" si="20"/>
        <v>3051.4723609608563</v>
      </c>
      <c r="C135" s="1">
        <f t="shared" si="21"/>
        <v>1068.2451501392354</v>
      </c>
      <c r="D135" s="1">
        <f t="shared" si="22"/>
        <v>1983.2272108216209</v>
      </c>
      <c r="E135" s="1">
        <f t="shared" si="23"/>
        <v>144974.89678994159</v>
      </c>
      <c r="F135" s="2">
        <v>7.2690445485932287E-3</v>
      </c>
      <c r="G135" s="1">
        <f t="shared" si="26"/>
        <v>692.75432534178537</v>
      </c>
      <c r="H135" s="1">
        <f t="shared" si="24"/>
        <v>8.9137754811785417</v>
      </c>
      <c r="I135" s="1">
        <f t="shared" si="27"/>
        <v>2506.5795568669641</v>
      </c>
      <c r="J135" s="1">
        <f t="shared" si="25"/>
        <v>0</v>
      </c>
    </row>
    <row r="136" spans="1:10" x14ac:dyDescent="0.45">
      <c r="A136">
        <f t="shared" si="19"/>
        <v>134</v>
      </c>
      <c r="B136" s="1">
        <f t="shared" si="20"/>
        <v>3051.4723609608563</v>
      </c>
      <c r="C136" s="1">
        <f t="shared" si="21"/>
        <v>1053.8289831937909</v>
      </c>
      <c r="D136" s="1">
        <f t="shared" si="22"/>
        <v>1997.6433777670654</v>
      </c>
      <c r="E136" s="1">
        <f t="shared" si="23"/>
        <v>142977.25341217453</v>
      </c>
      <c r="F136" s="2">
        <v>7.2690445485932287E-3</v>
      </c>
      <c r="G136" s="1">
        <f t="shared" si="26"/>
        <v>692.75432534178537</v>
      </c>
      <c r="H136" s="1">
        <f t="shared" si="24"/>
        <v>12.379049022490907</v>
      </c>
      <c r="I136" s="1">
        <f t="shared" si="27"/>
        <v>3211.7129312312404</v>
      </c>
      <c r="J136" s="1">
        <f t="shared" si="25"/>
        <v>0</v>
      </c>
    </row>
    <row r="137" spans="1:10" x14ac:dyDescent="0.45">
      <c r="A137">
        <f t="shared" si="19"/>
        <v>135</v>
      </c>
      <c r="B137" s="1">
        <f t="shared" si="20"/>
        <v>3051.4723609608563</v>
      </c>
      <c r="C137" s="1">
        <f t="shared" si="21"/>
        <v>1039.3080244885998</v>
      </c>
      <c r="D137" s="1">
        <f t="shared" si="22"/>
        <v>2012.1643364722565</v>
      </c>
      <c r="E137" s="1">
        <f t="shared" si="23"/>
        <v>140965.08907570227</v>
      </c>
      <c r="F137" s="2">
        <v>7.2690445485932287E-3</v>
      </c>
      <c r="G137" s="1">
        <f t="shared" si="26"/>
        <v>692.75432534178537</v>
      </c>
      <c r="H137" s="1">
        <f t="shared" si="24"/>
        <v>15.86143624005852</v>
      </c>
      <c r="I137" s="1">
        <f t="shared" si="27"/>
        <v>3920.3286928130842</v>
      </c>
      <c r="J137" s="1">
        <f t="shared" si="25"/>
        <v>0</v>
      </c>
    </row>
    <row r="138" spans="1:10" x14ac:dyDescent="0.45">
      <c r="A138">
        <f t="shared" si="19"/>
        <v>136</v>
      </c>
      <c r="B138" s="1">
        <f t="shared" si="20"/>
        <v>3051.4723609608563</v>
      </c>
      <c r="C138" s="1">
        <f t="shared" si="21"/>
        <v>1024.6815122876924</v>
      </c>
      <c r="D138" s="1">
        <f t="shared" si="22"/>
        <v>2026.790848673164</v>
      </c>
      <c r="E138" s="1">
        <f t="shared" si="23"/>
        <v>138938.2982270291</v>
      </c>
      <c r="F138" s="2">
        <v>7.2690445485932287E-3</v>
      </c>
      <c r="G138" s="1">
        <f t="shared" si="26"/>
        <v>692.75432534178537</v>
      </c>
      <c r="H138" s="1">
        <f t="shared" si="24"/>
        <v>19.361021651859971</v>
      </c>
      <c r="I138" s="1">
        <f t="shared" si="27"/>
        <v>4632.44403980673</v>
      </c>
      <c r="J138" s="1">
        <f t="shared" si="25"/>
        <v>0</v>
      </c>
    </row>
    <row r="139" spans="1:10" x14ac:dyDescent="0.45">
      <c r="A139">
        <f t="shared" si="19"/>
        <v>137</v>
      </c>
      <c r="B139" s="1">
        <f t="shared" si="20"/>
        <v>3051.4723609608563</v>
      </c>
      <c r="C139" s="1">
        <f t="shared" si="21"/>
        <v>1009.948679318006</v>
      </c>
      <c r="D139" s="1">
        <f t="shared" si="22"/>
        <v>2041.5236816428503</v>
      </c>
      <c r="E139" s="1">
        <f t="shared" si="23"/>
        <v>136896.77454538626</v>
      </c>
      <c r="F139" s="2">
        <v>7.2690445485932287E-3</v>
      </c>
      <c r="G139" s="1">
        <f t="shared" si="26"/>
        <v>692.75432534178537</v>
      </c>
      <c r="H139" s="1">
        <f t="shared" si="24"/>
        <v>22.877890193276201</v>
      </c>
      <c r="I139" s="1">
        <f t="shared" si="27"/>
        <v>5348.0762553417917</v>
      </c>
      <c r="J139" s="1">
        <f t="shared" si="25"/>
        <v>0</v>
      </c>
    </row>
    <row r="140" spans="1:10" x14ac:dyDescent="0.45">
      <c r="A140">
        <f t="shared" si="19"/>
        <v>138</v>
      </c>
      <c r="B140" s="1">
        <f t="shared" si="20"/>
        <v>3051.4723609608563</v>
      </c>
      <c r="C140" s="1">
        <f t="shared" si="21"/>
        <v>995.10875272913631</v>
      </c>
      <c r="D140" s="1">
        <f t="shared" si="22"/>
        <v>2056.3636082317198</v>
      </c>
      <c r="E140" s="1">
        <f t="shared" si="23"/>
        <v>134840.41093715455</v>
      </c>
      <c r="F140" s="2">
        <v>7.2690445485932287E-3</v>
      </c>
      <c r="G140" s="1">
        <f t="shared" si="26"/>
        <v>692.75432534178537</v>
      </c>
      <c r="H140" s="1">
        <f t="shared" si="24"/>
        <v>26.412127219151895</v>
      </c>
      <c r="I140" s="1">
        <f t="shared" si="27"/>
        <v>6067.2427079027284</v>
      </c>
      <c r="J140" s="1">
        <f t="shared" si="25"/>
        <v>0</v>
      </c>
    </row>
    <row r="141" spans="1:10" x14ac:dyDescent="0.45">
      <c r="A141">
        <f t="shared" si="19"/>
        <v>139</v>
      </c>
      <c r="B141" s="1">
        <f t="shared" si="20"/>
        <v>3051.4723609608563</v>
      </c>
      <c r="C141" s="1">
        <f t="shared" si="21"/>
        <v>980.16095405279407</v>
      </c>
      <c r="D141" s="1">
        <f t="shared" si="22"/>
        <v>2071.3114069080621</v>
      </c>
      <c r="E141" s="1">
        <f t="shared" si="23"/>
        <v>132769.09953024649</v>
      </c>
      <c r="F141" s="2">
        <v>7.2690445485932287E-3</v>
      </c>
      <c r="G141" s="1">
        <f t="shared" si="26"/>
        <v>692.75432534178537</v>
      </c>
      <c r="H141" s="1">
        <f t="shared" si="24"/>
        <v>29.963818505867042</v>
      </c>
      <c r="I141" s="1">
        <f t="shared" si="27"/>
        <v>6789.9608517503812</v>
      </c>
      <c r="J141" s="1">
        <f t="shared" si="25"/>
        <v>0</v>
      </c>
    </row>
    <row r="142" spans="1:10" x14ac:dyDescent="0.45">
      <c r="A142">
        <f t="shared" si="19"/>
        <v>140</v>
      </c>
      <c r="B142" s="1">
        <f t="shared" si="20"/>
        <v>3051.4723609608563</v>
      </c>
      <c r="C142" s="1">
        <f t="shared" si="21"/>
        <v>965.10449916197001</v>
      </c>
      <c r="D142" s="1">
        <f t="shared" si="22"/>
        <v>2086.3678617988862</v>
      </c>
      <c r="E142" s="1">
        <f t="shared" si="23"/>
        <v>130682.7316684476</v>
      </c>
      <c r="F142" s="2">
        <v>7.2690445485932287E-3</v>
      </c>
      <c r="G142" s="1">
        <f t="shared" si="26"/>
        <v>692.75432534178537</v>
      </c>
      <c r="H142" s="1">
        <f t="shared" si="24"/>
        <v>33.533050253418779</v>
      </c>
      <c r="I142" s="1">
        <f t="shared" si="27"/>
        <v>7516.2482273455853</v>
      </c>
      <c r="J142" s="1">
        <f t="shared" si="25"/>
        <v>0</v>
      </c>
    </row>
    <row r="143" spans="1:10" x14ac:dyDescent="0.45">
      <c r="A143">
        <f t="shared" si="19"/>
        <v>141</v>
      </c>
      <c r="B143" s="1">
        <f t="shared" si="20"/>
        <v>3051.4723609608563</v>
      </c>
      <c r="C143" s="1">
        <f t="shared" si="21"/>
        <v>949.93859822980073</v>
      </c>
      <c r="D143" s="1">
        <f t="shared" si="22"/>
        <v>2101.5337627310555</v>
      </c>
      <c r="E143" s="1">
        <f t="shared" si="23"/>
        <v>128581.19790571654</v>
      </c>
      <c r="F143" s="2">
        <v>7.2690445485932287E-3</v>
      </c>
      <c r="G143" s="1">
        <f t="shared" si="26"/>
        <v>692.75432534178537</v>
      </c>
      <c r="H143" s="1">
        <f t="shared" si="24"/>
        <v>37.11990908751342</v>
      </c>
      <c r="I143" s="1">
        <f t="shared" si="27"/>
        <v>8246.1224617748849</v>
      </c>
      <c r="J143" s="1">
        <f t="shared" si="25"/>
        <v>0</v>
      </c>
    </row>
    <row r="144" spans="1:10" x14ac:dyDescent="0.45">
      <c r="A144">
        <f t="shared" si="19"/>
        <v>142</v>
      </c>
      <c r="B144" s="1">
        <f t="shared" si="20"/>
        <v>3051.4723609608563</v>
      </c>
      <c r="C144" s="1">
        <f t="shared" si="21"/>
        <v>934.66245568813588</v>
      </c>
      <c r="D144" s="1">
        <f t="shared" si="22"/>
        <v>2116.8099052727202</v>
      </c>
      <c r="E144" s="1">
        <f t="shared" si="23"/>
        <v>126464.38800044383</v>
      </c>
      <c r="F144" s="2">
        <v>7.2690445485932287E-3</v>
      </c>
      <c r="G144" s="1">
        <f t="shared" si="26"/>
        <v>692.75432534178537</v>
      </c>
      <c r="H144" s="1">
        <f t="shared" si="24"/>
        <v>40.724482061668915</v>
      </c>
      <c r="I144" s="1">
        <f t="shared" si="27"/>
        <v>8979.6012691783399</v>
      </c>
      <c r="J144" s="1">
        <f t="shared" si="25"/>
        <v>0</v>
      </c>
    </row>
    <row r="145" spans="1:10" x14ac:dyDescent="0.45">
      <c r="A145">
        <f t="shared" si="19"/>
        <v>143</v>
      </c>
      <c r="B145" s="1">
        <f t="shared" si="20"/>
        <v>3051.4723609608563</v>
      </c>
      <c r="C145" s="1">
        <f t="shared" si="21"/>
        <v>919.27527018580508</v>
      </c>
      <c r="D145" s="1">
        <f t="shared" si="22"/>
        <v>2132.197090775051</v>
      </c>
      <c r="E145" s="1">
        <f t="shared" si="23"/>
        <v>124332.19090966877</v>
      </c>
      <c r="F145" s="2">
        <v>7.2690445485932287E-3</v>
      </c>
      <c r="G145" s="1">
        <f t="shared" si="26"/>
        <v>692.75432534178537</v>
      </c>
      <c r="H145" s="1">
        <f t="shared" si="24"/>
        <v>44.346856659327635</v>
      </c>
      <c r="I145" s="1">
        <f t="shared" si="27"/>
        <v>9716.7024511794534</v>
      </c>
      <c r="J145" s="1">
        <f t="shared" si="25"/>
        <v>0</v>
      </c>
    </row>
    <row r="146" spans="1:10" x14ac:dyDescent="0.45">
      <c r="A146">
        <f t="shared" si="19"/>
        <v>144</v>
      </c>
      <c r="B146" s="1">
        <f t="shared" si="20"/>
        <v>3051.4723609608563</v>
      </c>
      <c r="C146" s="1">
        <f t="shared" si="21"/>
        <v>903.77623454658044</v>
      </c>
      <c r="D146" s="1">
        <f t="shared" si="22"/>
        <v>9471.2297927203326</v>
      </c>
      <c r="E146" s="1">
        <f t="shared" si="23"/>
        <v>114860.96111694844</v>
      </c>
      <c r="F146" s="2">
        <v>7.2690445485932287E-3</v>
      </c>
      <c r="G146" s="1">
        <f t="shared" si="26"/>
        <v>692.75432534178537</v>
      </c>
      <c r="H146" s="1">
        <f t="shared" si="24"/>
        <v>47.987120795979592</v>
      </c>
      <c r="I146" s="1">
        <f t="shared" si="27"/>
        <v>3133.9102310111639</v>
      </c>
      <c r="J146" s="1">
        <f t="shared" si="25"/>
        <v>7323.5336663060561</v>
      </c>
    </row>
    <row r="147" spans="1:10" x14ac:dyDescent="0.45">
      <c r="A147">
        <f t="shared" si="19"/>
        <v>145</v>
      </c>
      <c r="B147" s="1">
        <f t="shared" si="20"/>
        <v>3051.4723609608563</v>
      </c>
      <c r="C147" s="1">
        <f t="shared" si="21"/>
        <v>834.92944325333292</v>
      </c>
      <c r="D147" s="1">
        <f t="shared" si="22"/>
        <v>2216.5429177075234</v>
      </c>
      <c r="E147" s="1">
        <f t="shared" si="23"/>
        <v>112644.41819924091</v>
      </c>
      <c r="F147" s="2">
        <v>7.2690445485932287E-3</v>
      </c>
      <c r="G147" s="1">
        <f t="shared" si="26"/>
        <v>720.46449835545684</v>
      </c>
      <c r="H147" s="1">
        <f t="shared" si="24"/>
        <v>15.477198110665045</v>
      </c>
      <c r="I147" s="1">
        <f t="shared" si="27"/>
        <v>3869.8519274772857</v>
      </c>
      <c r="J147" s="1">
        <f t="shared" si="25"/>
        <v>0</v>
      </c>
    </row>
    <row r="148" spans="1:10" x14ac:dyDescent="0.45">
      <c r="A148">
        <f t="shared" si="19"/>
        <v>146</v>
      </c>
      <c r="B148" s="1">
        <f t="shared" si="20"/>
        <v>3051.4723609608563</v>
      </c>
      <c r="C148" s="1">
        <f t="shared" si="21"/>
        <v>818.81729404064799</v>
      </c>
      <c r="D148" s="1">
        <f t="shared" si="22"/>
        <v>2232.6550669202084</v>
      </c>
      <c r="E148" s="1">
        <f t="shared" si="23"/>
        <v>110411.7631323207</v>
      </c>
      <c r="F148" s="2">
        <v>7.2690445485932287E-3</v>
      </c>
      <c r="G148" s="1">
        <f t="shared" si="26"/>
        <v>720.46449835545684</v>
      </c>
      <c r="H148" s="1">
        <f t="shared" si="24"/>
        <v>19.111735986509043</v>
      </c>
      <c r="I148" s="1">
        <f t="shared" si="27"/>
        <v>4609.4281618192517</v>
      </c>
      <c r="J148" s="1">
        <f t="shared" si="25"/>
        <v>0</v>
      </c>
    </row>
    <row r="149" spans="1:10" x14ac:dyDescent="0.45">
      <c r="A149">
        <f t="shared" si="19"/>
        <v>147</v>
      </c>
      <c r="B149" s="1">
        <f t="shared" si="20"/>
        <v>3051.4723609608563</v>
      </c>
      <c r="C149" s="1">
        <f t="shared" si="21"/>
        <v>802.5880248975626</v>
      </c>
      <c r="D149" s="1">
        <f t="shared" si="22"/>
        <v>2248.8843360632936</v>
      </c>
      <c r="E149" s="1">
        <f t="shared" si="23"/>
        <v>108162.87879625741</v>
      </c>
      <c r="F149" s="2">
        <v>7.2690445485932287E-3</v>
      </c>
      <c r="G149" s="1">
        <f t="shared" si="26"/>
        <v>720.46449835545684</v>
      </c>
      <c r="H149" s="1">
        <f t="shared" si="24"/>
        <v>22.764223471179903</v>
      </c>
      <c r="I149" s="1">
        <f t="shared" si="27"/>
        <v>5352.6568836458891</v>
      </c>
      <c r="J149" s="1">
        <f t="shared" si="25"/>
        <v>0</v>
      </c>
    </row>
    <row r="150" spans="1:10" x14ac:dyDescent="0.45">
      <c r="A150">
        <f t="shared" si="19"/>
        <v>148</v>
      </c>
      <c r="B150" s="1">
        <f t="shared" si="20"/>
        <v>3051.4723609608563</v>
      </c>
      <c r="C150" s="1">
        <f t="shared" si="21"/>
        <v>786.2407844740851</v>
      </c>
      <c r="D150" s="1">
        <f t="shared" si="22"/>
        <v>2265.2315764867712</v>
      </c>
      <c r="E150" s="1">
        <f t="shared" si="23"/>
        <v>105897.64721977065</v>
      </c>
      <c r="F150" s="2">
        <v>7.2690445485932287E-3</v>
      </c>
      <c r="G150" s="1">
        <f t="shared" si="26"/>
        <v>720.46449835545684</v>
      </c>
      <c r="H150" s="1">
        <f t="shared" si="24"/>
        <v>26.434749211011233</v>
      </c>
      <c r="I150" s="1">
        <f t="shared" si="27"/>
        <v>6099.5561312123573</v>
      </c>
      <c r="J150" s="1">
        <f t="shared" si="25"/>
        <v>0</v>
      </c>
    </row>
    <row r="151" spans="1:10" x14ac:dyDescent="0.45">
      <c r="A151">
        <f t="shared" si="19"/>
        <v>149</v>
      </c>
      <c r="B151" s="1">
        <f t="shared" si="20"/>
        <v>3051.4723609608563</v>
      </c>
      <c r="C151" s="1">
        <f t="shared" si="21"/>
        <v>769.77471523172267</v>
      </c>
      <c r="D151" s="1">
        <f t="shared" si="22"/>
        <v>2281.6976457291339</v>
      </c>
      <c r="E151" s="1">
        <f t="shared" si="23"/>
        <v>103615.94957404152</v>
      </c>
      <c r="F151" s="2">
        <v>7.2690445485932287E-3</v>
      </c>
      <c r="G151" s="1">
        <f t="shared" si="26"/>
        <v>720.46449835545684</v>
      </c>
      <c r="H151" s="1">
        <f t="shared" si="24"/>
        <v>30.123402290127366</v>
      </c>
      <c r="I151" s="1">
        <f t="shared" si="27"/>
        <v>6850.1440318579416</v>
      </c>
      <c r="J151" s="1">
        <f t="shared" si="25"/>
        <v>0</v>
      </c>
    </row>
    <row r="152" spans="1:10" x14ac:dyDescent="0.45">
      <c r="A152">
        <f t="shared" si="19"/>
        <v>150</v>
      </c>
      <c r="B152" s="1">
        <f t="shared" si="20"/>
        <v>3051.4723609608563</v>
      </c>
      <c r="C152" s="1">
        <f t="shared" si="21"/>
        <v>753.18895339849735</v>
      </c>
      <c r="D152" s="1">
        <f t="shared" si="22"/>
        <v>2298.2834075623591</v>
      </c>
      <c r="E152" s="1">
        <f t="shared" si="23"/>
        <v>101317.66616647916</v>
      </c>
      <c r="F152" s="2">
        <v>7.2690445485932287E-3</v>
      </c>
      <c r="G152" s="1">
        <f t="shared" si="26"/>
        <v>720.46449835545684</v>
      </c>
      <c r="H152" s="1">
        <f t="shared" si="24"/>
        <v>33.830272232605466</v>
      </c>
      <c r="I152" s="1">
        <f t="shared" si="27"/>
        <v>7604.438802446004</v>
      </c>
      <c r="J152" s="1">
        <f t="shared" si="25"/>
        <v>0</v>
      </c>
    </row>
    <row r="153" spans="1:10" x14ac:dyDescent="0.45">
      <c r="A153">
        <f t="shared" si="19"/>
        <v>151</v>
      </c>
      <c r="B153" s="1">
        <f t="shared" si="20"/>
        <v>3051.4723609608563</v>
      </c>
      <c r="C153" s="1">
        <f t="shared" si="21"/>
        <v>736.48262892363391</v>
      </c>
      <c r="D153" s="1">
        <f t="shared" si="22"/>
        <v>2314.9897320372224</v>
      </c>
      <c r="E153" s="1">
        <f t="shared" si="23"/>
        <v>99002.676434441935</v>
      </c>
      <c r="F153" s="2">
        <v>7.2690445485932287E-3</v>
      </c>
      <c r="G153" s="1">
        <f t="shared" si="26"/>
        <v>720.46449835545684</v>
      </c>
      <c r="H153" s="1">
        <f t="shared" si="24"/>
        <v>37.555449004648267</v>
      </c>
      <c r="I153" s="1">
        <f t="shared" si="27"/>
        <v>8362.4587498061101</v>
      </c>
      <c r="J153" s="1">
        <f t="shared" si="25"/>
        <v>0</v>
      </c>
    </row>
    <row r="154" spans="1:10" x14ac:dyDescent="0.45">
      <c r="A154">
        <f t="shared" si="19"/>
        <v>152</v>
      </c>
      <c r="B154" s="1">
        <f t="shared" si="20"/>
        <v>3051.4723609608563</v>
      </c>
      <c r="C154" s="1">
        <f t="shared" si="21"/>
        <v>719.65486543191946</v>
      </c>
      <c r="D154" s="1">
        <f t="shared" si="22"/>
        <v>2331.8174955289369</v>
      </c>
      <c r="E154" s="1">
        <f t="shared" si="23"/>
        <v>96670.858938912992</v>
      </c>
      <c r="F154" s="2">
        <v>7.2690445485932287E-3</v>
      </c>
      <c r="G154" s="1">
        <f t="shared" si="26"/>
        <v>720.46449835545684</v>
      </c>
      <c r="H154" s="1">
        <f t="shared" si="24"/>
        <v>41.299023016767592</v>
      </c>
      <c r="I154" s="1">
        <f t="shared" si="27"/>
        <v>9124.2222711783343</v>
      </c>
      <c r="J154" s="1">
        <f t="shared" si="25"/>
        <v>0</v>
      </c>
    </row>
    <row r="155" spans="1:10" x14ac:dyDescent="0.45">
      <c r="A155">
        <f t="shared" si="19"/>
        <v>153</v>
      </c>
      <c r="B155" s="1">
        <f t="shared" si="20"/>
        <v>3051.4723609608563</v>
      </c>
      <c r="C155" s="1">
        <f t="shared" si="21"/>
        <v>702.70478017773053</v>
      </c>
      <c r="D155" s="1">
        <f t="shared" si="22"/>
        <v>2348.7675807831256</v>
      </c>
      <c r="E155" s="1">
        <f t="shared" si="23"/>
        <v>94322.091358129866</v>
      </c>
      <c r="F155" s="2">
        <v>7.2690445485932287E-3</v>
      </c>
      <c r="G155" s="1">
        <f t="shared" si="26"/>
        <v>720.46449835545684</v>
      </c>
      <c r="H155" s="1">
        <f t="shared" si="24"/>
        <v>45.061085125978572</v>
      </c>
      <c r="I155" s="1">
        <f t="shared" si="27"/>
        <v>9889.7478546597704</v>
      </c>
      <c r="J155" s="1">
        <f t="shared" si="25"/>
        <v>0</v>
      </c>
    </row>
    <row r="156" spans="1:10" x14ac:dyDescent="0.45">
      <c r="A156">
        <f t="shared" si="19"/>
        <v>154</v>
      </c>
      <c r="B156" s="1">
        <f t="shared" si="20"/>
        <v>3051.4723609608563</v>
      </c>
      <c r="C156" s="1">
        <f t="shared" si="21"/>
        <v>685.63148399872637</v>
      </c>
      <c r="D156" s="1">
        <f t="shared" si="22"/>
        <v>2365.8408769621301</v>
      </c>
      <c r="E156" s="1">
        <f t="shared" si="23"/>
        <v>91956.250481167735</v>
      </c>
      <c r="F156" s="2">
        <v>7.2690445485932287E-3</v>
      </c>
      <c r="G156" s="1">
        <f t="shared" si="26"/>
        <v>720.46449835545684</v>
      </c>
      <c r="H156" s="1">
        <f t="shared" si="24"/>
        <v>48.841726638004843</v>
      </c>
      <c r="I156" s="1">
        <f t="shared" si="27"/>
        <v>10659.054079653233</v>
      </c>
      <c r="J156" s="1">
        <f t="shared" si="25"/>
        <v>0</v>
      </c>
    </row>
    <row r="157" spans="1:10" x14ac:dyDescent="0.45">
      <c r="A157">
        <f t="shared" si="19"/>
        <v>155</v>
      </c>
      <c r="B157" s="1">
        <f t="shared" si="20"/>
        <v>3051.4723609608563</v>
      </c>
      <c r="C157" s="1">
        <f t="shared" si="21"/>
        <v>668.43408126920576</v>
      </c>
      <c r="D157" s="1">
        <f t="shared" si="22"/>
        <v>2383.0382796916506</v>
      </c>
      <c r="E157" s="1">
        <f t="shared" si="23"/>
        <v>89573.212201476083</v>
      </c>
      <c r="F157" s="2">
        <v>7.2690445485932287E-3</v>
      </c>
      <c r="G157" s="1">
        <f t="shared" si="26"/>
        <v>720.46449835545684</v>
      </c>
      <c r="H157" s="1">
        <f t="shared" si="24"/>
        <v>52.64103930949446</v>
      </c>
      <c r="I157" s="1">
        <f t="shared" si="27"/>
        <v>11432.159617318184</v>
      </c>
      <c r="J157" s="1">
        <f t="shared" si="25"/>
        <v>0</v>
      </c>
    </row>
    <row r="158" spans="1:10" x14ac:dyDescent="0.45">
      <c r="A158">
        <f t="shared" si="19"/>
        <v>156</v>
      </c>
      <c r="B158" s="1">
        <f t="shared" si="20"/>
        <v>3051.4723609608563</v>
      </c>
      <c r="C158" s="1">
        <f t="shared" si="21"/>
        <v>651.11166985312423</v>
      </c>
      <c r="D158" s="1">
        <f t="shared" si="22"/>
        <v>9723.8943574137884</v>
      </c>
      <c r="E158" s="1">
        <f t="shared" si="23"/>
        <v>79849.317844062287</v>
      </c>
      <c r="F158" s="2">
        <v>7.2690445485932287E-3</v>
      </c>
      <c r="G158" s="1">
        <f t="shared" si="26"/>
        <v>720.46449835545684</v>
      </c>
      <c r="H158" s="1">
        <f t="shared" si="24"/>
        <v>56.459115350246904</v>
      </c>
      <c r="I158" s="1">
        <f t="shared" si="27"/>
        <v>4885.5495647178313</v>
      </c>
      <c r="J158" s="1">
        <f t="shared" si="25"/>
        <v>7323.5336663060561</v>
      </c>
    </row>
    <row r="159" spans="1:10" x14ac:dyDescent="0.45">
      <c r="A159">
        <f t="shared" si="19"/>
        <v>157</v>
      </c>
      <c r="B159" s="1">
        <f t="shared" si="20"/>
        <v>3051.4723609608563</v>
      </c>
      <c r="C159" s="1">
        <f t="shared" si="21"/>
        <v>580.42824858326901</v>
      </c>
      <c r="D159" s="1">
        <f t="shared" si="22"/>
        <v>2471.0441123775872</v>
      </c>
      <c r="E159" s="1">
        <f t="shared" si="23"/>
        <v>77378.273731684705</v>
      </c>
      <c r="F159" s="2">
        <v>7.2690445485932287E-3</v>
      </c>
      <c r="G159" s="1">
        <f t="shared" si="26"/>
        <v>749.28307828967513</v>
      </c>
      <c r="H159" s="1">
        <f t="shared" si="24"/>
        <v>24.127882714819819</v>
      </c>
      <c r="I159" s="1">
        <f t="shared" si="27"/>
        <v>5658.9605257223266</v>
      </c>
      <c r="J159" s="1">
        <f t="shared" si="25"/>
        <v>0</v>
      </c>
    </row>
    <row r="160" spans="1:10" x14ac:dyDescent="0.45">
      <c r="A160">
        <f t="shared" si="19"/>
        <v>158</v>
      </c>
      <c r="B160" s="1">
        <f t="shared" si="20"/>
        <v>3051.4723609608563</v>
      </c>
      <c r="C160" s="1">
        <f t="shared" si="21"/>
        <v>562.46611884885738</v>
      </c>
      <c r="D160" s="1">
        <f t="shared" si="22"/>
        <v>2489.0062421119992</v>
      </c>
      <c r="E160" s="1">
        <f t="shared" si="23"/>
        <v>74889.26748957271</v>
      </c>
      <c r="F160" s="2">
        <v>7.2690445485932287E-3</v>
      </c>
      <c r="G160" s="1">
        <f t="shared" si="26"/>
        <v>749.28307828967513</v>
      </c>
      <c r="H160" s="1">
        <f t="shared" si="24"/>
        <v>27.947467126005773</v>
      </c>
      <c r="I160" s="1">
        <f t="shared" si="27"/>
        <v>6436.1910711380078</v>
      </c>
      <c r="J160" s="1">
        <f t="shared" si="25"/>
        <v>0</v>
      </c>
    </row>
    <row r="161" spans="1:10" x14ac:dyDescent="0.45">
      <c r="A161">
        <f t="shared" si="19"/>
        <v>159</v>
      </c>
      <c r="B161" s="1">
        <f t="shared" si="20"/>
        <v>3051.4723609608563</v>
      </c>
      <c r="C161" s="1">
        <f t="shared" si="21"/>
        <v>544.37342159321861</v>
      </c>
      <c r="D161" s="1">
        <f t="shared" si="22"/>
        <v>2507.0989393676377</v>
      </c>
      <c r="E161" s="1">
        <f t="shared" si="23"/>
        <v>72382.168550205068</v>
      </c>
      <c r="F161" s="2">
        <v>7.2690445485932287E-3</v>
      </c>
      <c r="G161" s="1">
        <f t="shared" si="26"/>
        <v>749.28307828967513</v>
      </c>
      <c r="H161" s="1">
        <f t="shared" si="24"/>
        <v>31.785915020914825</v>
      </c>
      <c r="I161" s="1">
        <f t="shared" si="27"/>
        <v>7217.2600644485983</v>
      </c>
      <c r="J161" s="1">
        <f t="shared" si="25"/>
        <v>0</v>
      </c>
    </row>
    <row r="162" spans="1:10" x14ac:dyDescent="0.45">
      <c r="A162">
        <f t="shared" si="19"/>
        <v>160</v>
      </c>
      <c r="B162" s="1">
        <f t="shared" si="20"/>
        <v>3051.4723609608563</v>
      </c>
      <c r="C162" s="1">
        <f t="shared" si="21"/>
        <v>526.14920771522441</v>
      </c>
      <c r="D162" s="1">
        <f t="shared" si="22"/>
        <v>2525.3231532456321</v>
      </c>
      <c r="E162" s="1">
        <f t="shared" si="23"/>
        <v>69856.845396959441</v>
      </c>
      <c r="F162" s="2">
        <v>7.2690445485932287E-3</v>
      </c>
      <c r="G162" s="1">
        <f t="shared" si="26"/>
        <v>749.28307828967513</v>
      </c>
      <c r="H162" s="1">
        <f t="shared" si="24"/>
        <v>35.643319559163274</v>
      </c>
      <c r="I162" s="1">
        <f t="shared" si="27"/>
        <v>8002.1864622974372</v>
      </c>
      <c r="J162" s="1">
        <f t="shared" si="25"/>
        <v>0</v>
      </c>
    </row>
    <row r="163" spans="1:10" x14ac:dyDescent="0.45">
      <c r="A163">
        <f t="shared" si="19"/>
        <v>161</v>
      </c>
      <c r="B163" s="1">
        <f t="shared" si="20"/>
        <v>3051.4723609608563</v>
      </c>
      <c r="C163" s="1">
        <f t="shared" si="21"/>
        <v>507.79252121468801</v>
      </c>
      <c r="D163" s="1">
        <f t="shared" si="22"/>
        <v>2543.6798397461685</v>
      </c>
      <c r="E163" s="1">
        <f t="shared" si="23"/>
        <v>67313.165557213273</v>
      </c>
      <c r="F163" s="2">
        <v>7.2690445485932287E-3</v>
      </c>
      <c r="G163" s="1">
        <f t="shared" si="26"/>
        <v>749.28307828967513</v>
      </c>
      <c r="H163" s="1">
        <f t="shared" si="24"/>
        <v>39.519774360447563</v>
      </c>
      <c r="I163" s="1">
        <f t="shared" si="27"/>
        <v>8790.9893149475593</v>
      </c>
      <c r="J163" s="1">
        <f t="shared" si="25"/>
        <v>0</v>
      </c>
    </row>
    <row r="164" spans="1:10" x14ac:dyDescent="0.45">
      <c r="A164">
        <f t="shared" si="19"/>
        <v>162</v>
      </c>
      <c r="B164" s="1">
        <f t="shared" si="20"/>
        <v>3051.4723609608563</v>
      </c>
      <c r="C164" s="1">
        <f t="shared" si="21"/>
        <v>489.30239914221465</v>
      </c>
      <c r="D164" s="1">
        <f t="shared" si="22"/>
        <v>2562.1699618186417</v>
      </c>
      <c r="E164" s="1">
        <f t="shared" si="23"/>
        <v>64750.995595394634</v>
      </c>
      <c r="F164" s="2">
        <v>7.2690445485932287E-3</v>
      </c>
      <c r="G164" s="1">
        <f t="shared" si="26"/>
        <v>749.28307828967513</v>
      </c>
      <c r="H164" s="1">
        <f t="shared" si="24"/>
        <v>43.415373506816401</v>
      </c>
      <c r="I164" s="1">
        <f t="shared" si="27"/>
        <v>9583.6877667440494</v>
      </c>
      <c r="J164" s="1">
        <f t="shared" si="25"/>
        <v>0</v>
      </c>
    </row>
    <row r="165" spans="1:10" x14ac:dyDescent="0.45">
      <c r="A165">
        <f t="shared" si="19"/>
        <v>163</v>
      </c>
      <c r="B165" s="1">
        <f t="shared" si="20"/>
        <v>3051.4723609608563</v>
      </c>
      <c r="C165" s="1">
        <f t="shared" si="21"/>
        <v>470.67787154868751</v>
      </c>
      <c r="D165" s="1">
        <f t="shared" si="22"/>
        <v>2580.7944894121688</v>
      </c>
      <c r="E165" s="1">
        <f t="shared" si="23"/>
        <v>62170.201105982465</v>
      </c>
      <c r="F165" s="2">
        <v>7.2690445485932287E-3</v>
      </c>
      <c r="G165" s="1">
        <f t="shared" si="26"/>
        <v>749.28307828967513</v>
      </c>
      <c r="H165" s="1">
        <f t="shared" si="24"/>
        <v>47.33021154495421</v>
      </c>
      <c r="I165" s="1">
        <f t="shared" si="27"/>
        <v>10380.301056578679</v>
      </c>
      <c r="J165" s="1">
        <f t="shared" si="25"/>
        <v>0</v>
      </c>
    </row>
    <row r="166" spans="1:10" x14ac:dyDescent="0.45">
      <c r="A166">
        <f t="shared" si="19"/>
        <v>164</v>
      </c>
      <c r="B166" s="1">
        <f t="shared" si="20"/>
        <v>3051.4723609608563</v>
      </c>
      <c r="C166" s="1">
        <f t="shared" si="21"/>
        <v>451.91796143438654</v>
      </c>
      <c r="D166" s="1">
        <f t="shared" si="22"/>
        <v>2599.5543995264698</v>
      </c>
      <c r="E166" s="1">
        <f t="shared" si="23"/>
        <v>59570.646706455998</v>
      </c>
      <c r="F166" s="2">
        <v>7.2690445485932287E-3</v>
      </c>
      <c r="G166" s="1">
        <f t="shared" si="26"/>
        <v>749.28307828967513</v>
      </c>
      <c r="H166" s="1">
        <f t="shared" si="24"/>
        <v>51.264383488475737</v>
      </c>
      <c r="I166" s="1">
        <f t="shared" si="27"/>
        <v>11180.84851835683</v>
      </c>
      <c r="J166" s="1">
        <f t="shared" si="25"/>
        <v>0</v>
      </c>
    </row>
    <row r="167" spans="1:10" x14ac:dyDescent="0.45">
      <c r="A167">
        <f t="shared" si="19"/>
        <v>165</v>
      </c>
      <c r="B167" s="1">
        <f t="shared" si="20"/>
        <v>3051.4723609608563</v>
      </c>
      <c r="C167" s="1">
        <f t="shared" si="21"/>
        <v>433.02168469773716</v>
      </c>
      <c r="D167" s="1">
        <f t="shared" si="22"/>
        <v>2618.450676263119</v>
      </c>
      <c r="E167" s="1">
        <f t="shared" si="23"/>
        <v>56952.196030192878</v>
      </c>
      <c r="F167" s="2">
        <v>7.2690445485932287E-3</v>
      </c>
      <c r="G167" s="1">
        <f t="shared" si="26"/>
        <v>749.28307828967513</v>
      </c>
      <c r="H167" s="1">
        <f t="shared" si="24"/>
        <v>55.217984820232054</v>
      </c>
      <c r="I167" s="1">
        <f t="shared" si="27"/>
        <v>11985.349581466737</v>
      </c>
      <c r="J167" s="1">
        <f t="shared" si="25"/>
        <v>0</v>
      </c>
    </row>
    <row r="168" spans="1:10" x14ac:dyDescent="0.45">
      <c r="A168">
        <f t="shared" si="19"/>
        <v>166</v>
      </c>
      <c r="B168" s="1">
        <f t="shared" si="20"/>
        <v>3051.4723609608563</v>
      </c>
      <c r="C168" s="1">
        <f t="shared" si="21"/>
        <v>413.98805008368646</v>
      </c>
      <c r="D168" s="1">
        <f t="shared" si="22"/>
        <v>2637.4843108771697</v>
      </c>
      <c r="E168" s="1">
        <f t="shared" si="23"/>
        <v>54314.71171931571</v>
      </c>
      <c r="F168" s="2">
        <v>7.2690445485932287E-3</v>
      </c>
      <c r="G168" s="1">
        <f t="shared" si="26"/>
        <v>749.28307828967513</v>
      </c>
      <c r="H168" s="1">
        <f t="shared" si="24"/>
        <v>59.191111494627954</v>
      </c>
      <c r="I168" s="1">
        <f t="shared" si="27"/>
        <v>12793.82377125104</v>
      </c>
      <c r="J168" s="1">
        <f t="shared" si="25"/>
        <v>0</v>
      </c>
    </row>
    <row r="169" spans="1:10" x14ac:dyDescent="0.45">
      <c r="A169">
        <f t="shared" si="19"/>
        <v>167</v>
      </c>
      <c r="B169" s="1">
        <f t="shared" si="20"/>
        <v>3051.4723609608563</v>
      </c>
      <c r="C169" s="1">
        <f t="shared" si="21"/>
        <v>394.81605913170461</v>
      </c>
      <c r="D169" s="1">
        <f t="shared" si="22"/>
        <v>2656.6563018291517</v>
      </c>
      <c r="E169" s="1">
        <f t="shared" si="23"/>
        <v>51658.055417486561</v>
      </c>
      <c r="F169" s="2">
        <v>7.2690445485932287E-3</v>
      </c>
      <c r="G169" s="1">
        <f t="shared" si="26"/>
        <v>749.28307828967513</v>
      </c>
      <c r="H169" s="1">
        <f t="shared" si="24"/>
        <v>63.183859939950764</v>
      </c>
      <c r="I169" s="1">
        <f t="shared" si="27"/>
        <v>13606.290709480665</v>
      </c>
      <c r="J169" s="1">
        <f t="shared" si="25"/>
        <v>0</v>
      </c>
    </row>
    <row r="170" spans="1:10" x14ac:dyDescent="0.45">
      <c r="A170">
        <f t="shared" si="19"/>
        <v>168</v>
      </c>
      <c r="B170" s="1">
        <f t="shared" si="20"/>
        <v>3051.4723609608563</v>
      </c>
      <c r="C170" s="1">
        <f t="shared" si="21"/>
        <v>375.50470612340757</v>
      </c>
      <c r="D170" s="1">
        <f t="shared" si="22"/>
        <v>9999.5013211435053</v>
      </c>
      <c r="E170" s="1">
        <f t="shared" si="23"/>
        <v>41658.554096343054</v>
      </c>
      <c r="F170" s="2">
        <v>7.2690445485932287E-3</v>
      </c>
      <c r="G170" s="1">
        <f t="shared" si="26"/>
        <v>749.28307828967513</v>
      </c>
      <c r="H170" s="1">
        <f t="shared" si="24"/>
        <v>67.196327060710672</v>
      </c>
      <c r="I170" s="1">
        <f t="shared" si="27"/>
        <v>7099.2364485249936</v>
      </c>
      <c r="J170" s="1">
        <f t="shared" si="25"/>
        <v>7323.5336663060561</v>
      </c>
    </row>
    <row r="171" spans="1:10" x14ac:dyDescent="0.45">
      <c r="A171">
        <f t="shared" si="19"/>
        <v>169</v>
      </c>
      <c r="B171" s="1">
        <f t="shared" si="20"/>
        <v>3051.4723609608563</v>
      </c>
      <c r="C171" s="1">
        <f t="shared" si="21"/>
        <v>302.81788555629862</v>
      </c>
      <c r="D171" s="1">
        <f t="shared" si="22"/>
        <v>2748.6544754045576</v>
      </c>
      <c r="E171" s="1">
        <f t="shared" si="23"/>
        <v>38909.899620938493</v>
      </c>
      <c r="F171" s="2">
        <v>7.2690445485932287E-3</v>
      </c>
      <c r="G171" s="1">
        <f t="shared" si="26"/>
        <v>779.25440142126217</v>
      </c>
      <c r="H171" s="1">
        <f t="shared" si="24"/>
        <v>35.060445529361445</v>
      </c>
      <c r="I171" s="1">
        <f t="shared" si="27"/>
        <v>7913.5512954756177</v>
      </c>
      <c r="J171" s="1">
        <f t="shared" si="25"/>
        <v>0</v>
      </c>
    </row>
    <row r="172" spans="1:10" x14ac:dyDescent="0.45">
      <c r="A172">
        <f t="shared" si="19"/>
        <v>170</v>
      </c>
      <c r="B172" s="1">
        <f t="shared" si="20"/>
        <v>3051.4723609608563</v>
      </c>
      <c r="C172" s="1">
        <f t="shared" si="21"/>
        <v>282.83779372589271</v>
      </c>
      <c r="D172" s="1">
        <f t="shared" si="22"/>
        <v>2768.6345672349635</v>
      </c>
      <c r="E172" s="1">
        <f t="shared" si="23"/>
        <v>36141.26505370353</v>
      </c>
      <c r="F172" s="2">
        <v>7.2690445485932287E-3</v>
      </c>
      <c r="G172" s="1">
        <f t="shared" si="26"/>
        <v>779.25440142126217</v>
      </c>
      <c r="H172" s="1">
        <f t="shared" si="24"/>
        <v>39.082038772842509</v>
      </c>
      <c r="I172" s="1">
        <f t="shared" si="27"/>
        <v>8731.8877356697212</v>
      </c>
      <c r="J172" s="1">
        <f t="shared" si="25"/>
        <v>0</v>
      </c>
    </row>
    <row r="173" spans="1:10" x14ac:dyDescent="0.45">
      <c r="A173">
        <f t="shared" si="19"/>
        <v>171</v>
      </c>
      <c r="B173" s="1">
        <f t="shared" si="20"/>
        <v>3051.4723609608563</v>
      </c>
      <c r="C173" s="1">
        <f t="shared" si="21"/>
        <v>262.71246571788663</v>
      </c>
      <c r="D173" s="1">
        <f t="shared" si="22"/>
        <v>2788.7598952429698</v>
      </c>
      <c r="E173" s="1">
        <f t="shared" si="23"/>
        <v>33352.505158460561</v>
      </c>
      <c r="F173" s="2">
        <v>7.2690445485932287E-3</v>
      </c>
      <c r="G173" s="1">
        <f t="shared" si="26"/>
        <v>779.25440142126217</v>
      </c>
      <c r="H173" s="1">
        <f t="shared" si="24"/>
        <v>43.123493145316338</v>
      </c>
      <c r="I173" s="1">
        <f t="shared" si="27"/>
        <v>9554.2656302362993</v>
      </c>
      <c r="J173" s="1">
        <f t="shared" si="25"/>
        <v>0</v>
      </c>
    </row>
    <row r="174" spans="1:10" x14ac:dyDescent="0.45">
      <c r="A174">
        <f t="shared" si="19"/>
        <v>172</v>
      </c>
      <c r="B174" s="1">
        <f t="shared" si="20"/>
        <v>3051.4723609608563</v>
      </c>
      <c r="C174" s="1">
        <f t="shared" si="21"/>
        <v>242.44084580403529</v>
      </c>
      <c r="D174" s="1">
        <f t="shared" si="22"/>
        <v>2809.0315151568211</v>
      </c>
      <c r="E174" s="1">
        <f t="shared" si="23"/>
        <v>30543.47364330374</v>
      </c>
      <c r="F174" s="2">
        <v>7.2690445485932287E-3</v>
      </c>
      <c r="G174" s="1">
        <f t="shared" si="26"/>
        <v>779.25440142126217</v>
      </c>
      <c r="H174" s="1">
        <f t="shared" si="24"/>
        <v>47.184906733392154</v>
      </c>
      <c r="I174" s="1">
        <f t="shared" si="27"/>
        <v>10380.704938390953</v>
      </c>
      <c r="J174" s="1">
        <f t="shared" si="25"/>
        <v>0</v>
      </c>
    </row>
    <row r="175" spans="1:10" x14ac:dyDescent="0.45">
      <c r="A175">
        <f t="shared" si="19"/>
        <v>173</v>
      </c>
      <c r="B175" s="1">
        <f t="shared" si="20"/>
        <v>3051.4723609608563</v>
      </c>
      <c r="C175" s="1">
        <f t="shared" si="21"/>
        <v>222.02187058195801</v>
      </c>
      <c r="D175" s="1">
        <f t="shared" si="22"/>
        <v>2829.4504903788984</v>
      </c>
      <c r="E175" s="1">
        <f t="shared" si="23"/>
        <v>27714.023152924841</v>
      </c>
      <c r="F175" s="2">
        <v>7.2690445485932287E-3</v>
      </c>
      <c r="G175" s="1">
        <f t="shared" si="26"/>
        <v>779.25440142126217</v>
      </c>
      <c r="H175" s="1">
        <f t="shared" si="24"/>
        <v>51.266378108091828</v>
      </c>
      <c r="I175" s="1">
        <f t="shared" si="27"/>
        <v>11211.225717920306</v>
      </c>
      <c r="J175" s="1">
        <f t="shared" si="25"/>
        <v>0</v>
      </c>
    </row>
    <row r="176" spans="1:10" x14ac:dyDescent="0.45">
      <c r="A176">
        <f t="shared" si="19"/>
        <v>174</v>
      </c>
      <c r="B176" s="1">
        <f t="shared" si="20"/>
        <v>3051.4723609608563</v>
      </c>
      <c r="C176" s="1">
        <f t="shared" si="21"/>
        <v>201.45446891935484</v>
      </c>
      <c r="D176" s="1">
        <f t="shared" si="22"/>
        <v>2850.0178920415015</v>
      </c>
      <c r="E176" s="1">
        <f t="shared" si="23"/>
        <v>24864.005260883339</v>
      </c>
      <c r="F176" s="2">
        <v>7.2690445485932287E-3</v>
      </c>
      <c r="G176" s="1">
        <f t="shared" si="26"/>
        <v>779.25440142126217</v>
      </c>
      <c r="H176" s="1">
        <f t="shared" si="24"/>
        <v>55.368006327242306</v>
      </c>
      <c r="I176" s="1">
        <f t="shared" si="27"/>
        <v>12045.84812566881</v>
      </c>
      <c r="J176" s="1">
        <f t="shared" si="25"/>
        <v>0</v>
      </c>
    </row>
    <row r="177" spans="1:10" x14ac:dyDescent="0.45">
      <c r="A177">
        <f t="shared" si="19"/>
        <v>175</v>
      </c>
      <c r="B177" s="1">
        <f t="shared" si="20"/>
        <v>3051.4723609608563</v>
      </c>
      <c r="C177" s="1">
        <f t="shared" si="21"/>
        <v>180.73756189781739</v>
      </c>
      <c r="D177" s="1">
        <f t="shared" si="22"/>
        <v>2870.7347990630387</v>
      </c>
      <c r="E177" s="1">
        <f t="shared" si="23"/>
        <v>21993.270461820299</v>
      </c>
      <c r="F177" s="2">
        <v>7.2690445485932287E-3</v>
      </c>
      <c r="G177" s="1">
        <f t="shared" si="26"/>
        <v>779.25440142126217</v>
      </c>
      <c r="H177" s="1">
        <f t="shared" si="24"/>
        <v>59.48989093787965</v>
      </c>
      <c r="I177" s="1">
        <f t="shared" si="27"/>
        <v>12884.592418027951</v>
      </c>
      <c r="J177" s="1">
        <f t="shared" si="25"/>
        <v>0</v>
      </c>
    </row>
    <row r="178" spans="1:10" x14ac:dyDescent="0.45">
      <c r="A178">
        <f t="shared" si="19"/>
        <v>176</v>
      </c>
      <c r="B178" s="1">
        <f t="shared" si="20"/>
        <v>3051.4723609608563</v>
      </c>
      <c r="C178" s="1">
        <f t="shared" si="21"/>
        <v>159.87006275623133</v>
      </c>
      <c r="D178" s="1">
        <f t="shared" si="22"/>
        <v>2891.6022982046252</v>
      </c>
      <c r="E178" s="1">
        <f t="shared" si="23"/>
        <v>19101.668163615672</v>
      </c>
      <c r="F178" s="2">
        <v>7.2690445485932287E-3</v>
      </c>
      <c r="G178" s="1">
        <f t="shared" si="26"/>
        <v>779.25440142126217</v>
      </c>
      <c r="H178" s="1">
        <f t="shared" si="24"/>
        <v>63.632131978665143</v>
      </c>
      <c r="I178" s="1">
        <f t="shared" si="27"/>
        <v>13727.478951427878</v>
      </c>
      <c r="J178" s="1">
        <f t="shared" si="25"/>
        <v>0</v>
      </c>
    </row>
    <row r="179" spans="1:10" x14ac:dyDescent="0.45">
      <c r="A179">
        <f t="shared" si="19"/>
        <v>177</v>
      </c>
      <c r="B179" s="1">
        <f t="shared" si="20"/>
        <v>3051.4723609608563</v>
      </c>
      <c r="C179" s="1">
        <f t="shared" si="21"/>
        <v>138.85087683376733</v>
      </c>
      <c r="D179" s="1">
        <f t="shared" si="22"/>
        <v>2912.6214841270889</v>
      </c>
      <c r="E179" s="1">
        <f t="shared" si="23"/>
        <v>16189.046679488583</v>
      </c>
      <c r="F179" s="2">
        <v>7.2690445485932287E-3</v>
      </c>
      <c r="G179" s="1">
        <f t="shared" si="26"/>
        <v>779.25440142126217</v>
      </c>
      <c r="H179" s="1">
        <f t="shared" si="24"/>
        <v>67.794829982313189</v>
      </c>
      <c r="I179" s="1">
        <f t="shared" si="27"/>
        <v>14574.528182831453</v>
      </c>
      <c r="J179" s="1">
        <f t="shared" si="25"/>
        <v>0</v>
      </c>
    </row>
    <row r="180" spans="1:10" x14ac:dyDescent="0.45">
      <c r="A180">
        <f t="shared" si="19"/>
        <v>178</v>
      </c>
      <c r="B180" s="1">
        <f t="shared" si="20"/>
        <v>3051.4723609608563</v>
      </c>
      <c r="C180" s="1">
        <f t="shared" si="21"/>
        <v>117.6789015124578</v>
      </c>
      <c r="D180" s="1">
        <f t="shared" si="22"/>
        <v>2933.7934594483986</v>
      </c>
      <c r="E180" s="1">
        <f t="shared" si="23"/>
        <v>13255.253220040184</v>
      </c>
      <c r="F180" s="2">
        <v>7.2690445485932287E-3</v>
      </c>
      <c r="G180" s="1">
        <f t="shared" si="26"/>
        <v>779.25440142126217</v>
      </c>
      <c r="H180" s="1">
        <f t="shared" si="24"/>
        <v>71.978085978031274</v>
      </c>
      <c r="I180" s="1">
        <f t="shared" si="27"/>
        <v>15425.760670230746</v>
      </c>
      <c r="J180" s="1">
        <f t="shared" si="25"/>
        <v>0</v>
      </c>
    </row>
    <row r="181" spans="1:10" x14ac:dyDescent="0.45">
      <c r="A181">
        <f t="shared" si="19"/>
        <v>179</v>
      </c>
      <c r="B181" s="1">
        <f t="shared" si="20"/>
        <v>3051.4723609608563</v>
      </c>
      <c r="C181" s="1">
        <f t="shared" si="21"/>
        <v>96.353026159355935</v>
      </c>
      <c r="D181" s="1">
        <f t="shared" si="22"/>
        <v>2955.1193348015004</v>
      </c>
      <c r="E181" s="1">
        <f t="shared" si="23"/>
        <v>10300.133885238683</v>
      </c>
      <c r="F181" s="2">
        <v>7.2690445485932287E-3</v>
      </c>
      <c r="G181" s="1">
        <f t="shared" si="26"/>
        <v>779.25440142126217</v>
      </c>
      <c r="H181" s="1">
        <f t="shared" si="24"/>
        <v>76.182001493971939</v>
      </c>
      <c r="I181" s="1">
        <f t="shared" si="27"/>
        <v>16281.197073145979</v>
      </c>
      <c r="J181" s="1">
        <f t="shared" si="25"/>
        <v>0</v>
      </c>
    </row>
    <row r="182" spans="1:10" x14ac:dyDescent="0.45">
      <c r="A182">
        <f t="shared" si="19"/>
        <v>180</v>
      </c>
      <c r="B182" s="1">
        <f t="shared" si="20"/>
        <v>3051.4723609608563</v>
      </c>
      <c r="C182" s="1">
        <f t="shared" si="21"/>
        <v>74.872132068274638</v>
      </c>
      <c r="D182" s="1">
        <f t="shared" si="22"/>
        <v>10300.133895198638</v>
      </c>
      <c r="E182" s="1">
        <f t="shared" si="23"/>
        <v>-9.9599546956596896E-6</v>
      </c>
      <c r="F182" s="2">
        <v>7.2690445485932287E-3</v>
      </c>
      <c r="G182" s="1">
        <f t="shared" si="26"/>
        <v>779.25440142126217</v>
      </c>
      <c r="H182" s="1">
        <f t="shared" si="24"/>
        <v>80.406678559696928</v>
      </c>
      <c r="I182" s="1">
        <f t="shared" si="27"/>
        <v>9817.3244868208822</v>
      </c>
      <c r="J182" s="1">
        <f t="shared" si="25"/>
        <v>7323.5336663060561</v>
      </c>
    </row>
    <row r="183" spans="1:10" x14ac:dyDescent="0.45">
      <c r="A183" t="str">
        <f t="shared" si="19"/>
        <v/>
      </c>
      <c r="B183" s="1" t="str">
        <f t="shared" si="20"/>
        <v/>
      </c>
      <c r="C183" s="1" t="str">
        <f t="shared" si="21"/>
        <v/>
      </c>
      <c r="D183" s="1" t="str">
        <f t="shared" si="22"/>
        <v/>
      </c>
      <c r="E183" s="1" t="str">
        <f t="shared" si="23"/>
        <v/>
      </c>
      <c r="F183" s="2">
        <v>6.0863763346787891E-3</v>
      </c>
      <c r="G183" s="1" t="str">
        <f t="shared" si="26"/>
        <v/>
      </c>
      <c r="H183" s="1" t="str">
        <f t="shared" si="24"/>
        <v/>
      </c>
      <c r="I183" s="1" t="str">
        <f t="shared" si="27"/>
        <v/>
      </c>
      <c r="J183" s="1" t="str">
        <f t="shared" si="25"/>
        <v/>
      </c>
    </row>
    <row r="184" spans="1:10" x14ac:dyDescent="0.45">
      <c r="A184" t="str">
        <f t="shared" si="19"/>
        <v/>
      </c>
      <c r="B184" s="1" t="str">
        <f t="shared" si="20"/>
        <v/>
      </c>
      <c r="C184" s="1" t="str">
        <f t="shared" si="21"/>
        <v/>
      </c>
      <c r="D184" s="1" t="str">
        <f t="shared" si="22"/>
        <v/>
      </c>
      <c r="E184" s="1" t="str">
        <f t="shared" si="23"/>
        <v/>
      </c>
      <c r="F184" s="2">
        <v>6.0863763346787891E-3</v>
      </c>
      <c r="G184" s="1" t="str">
        <f t="shared" si="26"/>
        <v/>
      </c>
      <c r="H184" s="1" t="str">
        <f t="shared" si="24"/>
        <v/>
      </c>
      <c r="I184" s="1" t="str">
        <f t="shared" si="27"/>
        <v/>
      </c>
      <c r="J184" s="1" t="str">
        <f t="shared" si="25"/>
        <v/>
      </c>
    </row>
    <row r="185" spans="1:10" x14ac:dyDescent="0.45">
      <c r="A185" t="str">
        <f t="shared" si="19"/>
        <v/>
      </c>
      <c r="B185" s="1" t="str">
        <f t="shared" si="20"/>
        <v/>
      </c>
      <c r="C185" s="1" t="str">
        <f t="shared" si="21"/>
        <v/>
      </c>
      <c r="D185" s="1" t="str">
        <f t="shared" si="22"/>
        <v/>
      </c>
      <c r="E185" s="1" t="str">
        <f t="shared" si="23"/>
        <v/>
      </c>
      <c r="F185" s="2">
        <v>6.0863763346787891E-3</v>
      </c>
      <c r="G185" s="1" t="str">
        <f t="shared" si="26"/>
        <v/>
      </c>
      <c r="H185" s="1" t="str">
        <f t="shared" si="24"/>
        <v/>
      </c>
      <c r="I185" s="1" t="str">
        <f t="shared" si="27"/>
        <v/>
      </c>
      <c r="J185" s="1" t="str">
        <f t="shared" si="25"/>
        <v/>
      </c>
    </row>
    <row r="186" spans="1:10" x14ac:dyDescent="0.45">
      <c r="A186" t="str">
        <f t="shared" si="19"/>
        <v/>
      </c>
      <c r="B186" s="1" t="str">
        <f t="shared" si="20"/>
        <v/>
      </c>
      <c r="C186" s="1" t="str">
        <f t="shared" si="21"/>
        <v/>
      </c>
      <c r="D186" s="1" t="str">
        <f t="shared" si="22"/>
        <v/>
      </c>
      <c r="E186" s="1" t="str">
        <f t="shared" si="23"/>
        <v/>
      </c>
      <c r="F186" s="2">
        <v>6.0863763346787891E-3</v>
      </c>
      <c r="G186" s="1" t="str">
        <f t="shared" si="26"/>
        <v/>
      </c>
      <c r="H186" s="1" t="str">
        <f t="shared" si="24"/>
        <v/>
      </c>
      <c r="I186" s="1" t="str">
        <f t="shared" si="27"/>
        <v/>
      </c>
      <c r="J186" s="1" t="str">
        <f t="shared" si="25"/>
        <v/>
      </c>
    </row>
    <row r="187" spans="1:10" x14ac:dyDescent="0.45">
      <c r="A187" t="str">
        <f t="shared" si="19"/>
        <v/>
      </c>
      <c r="B187" s="1" t="str">
        <f t="shared" si="20"/>
        <v/>
      </c>
      <c r="C187" s="1" t="str">
        <f t="shared" si="21"/>
        <v/>
      </c>
      <c r="D187" s="1" t="str">
        <f t="shared" si="22"/>
        <v/>
      </c>
      <c r="E187" s="1" t="str">
        <f t="shared" si="23"/>
        <v/>
      </c>
      <c r="F187" s="2">
        <v>6.0863763346787891E-3</v>
      </c>
      <c r="G187" s="1" t="str">
        <f t="shared" si="26"/>
        <v/>
      </c>
      <c r="H187" s="1" t="str">
        <f t="shared" si="24"/>
        <v/>
      </c>
      <c r="I187" s="1" t="str">
        <f t="shared" si="27"/>
        <v/>
      </c>
      <c r="J187" s="1" t="str">
        <f t="shared" si="25"/>
        <v/>
      </c>
    </row>
    <row r="188" spans="1:10" x14ac:dyDescent="0.45">
      <c r="A188" t="str">
        <f t="shared" si="19"/>
        <v/>
      </c>
      <c r="B188" s="1" t="str">
        <f t="shared" si="20"/>
        <v/>
      </c>
      <c r="C188" s="1" t="str">
        <f t="shared" si="21"/>
        <v/>
      </c>
      <c r="D188" s="1" t="str">
        <f t="shared" si="22"/>
        <v/>
      </c>
      <c r="E188" s="1" t="str">
        <f t="shared" si="23"/>
        <v/>
      </c>
      <c r="F188" s="2">
        <v>6.0863763346787891E-3</v>
      </c>
      <c r="G188" s="1" t="str">
        <f t="shared" si="26"/>
        <v/>
      </c>
      <c r="H188" s="1" t="str">
        <f t="shared" si="24"/>
        <v/>
      </c>
      <c r="I188" s="1" t="str">
        <f t="shared" si="27"/>
        <v/>
      </c>
      <c r="J188" s="1" t="str">
        <f t="shared" si="25"/>
        <v/>
      </c>
    </row>
    <row r="189" spans="1:10" x14ac:dyDescent="0.45">
      <c r="A189" t="str">
        <f t="shared" si="19"/>
        <v/>
      </c>
      <c r="B189" s="1" t="str">
        <f t="shared" si="20"/>
        <v/>
      </c>
      <c r="C189" s="1" t="str">
        <f t="shared" si="21"/>
        <v/>
      </c>
      <c r="D189" s="1" t="str">
        <f t="shared" si="22"/>
        <v/>
      </c>
      <c r="E189" s="1" t="str">
        <f t="shared" si="23"/>
        <v/>
      </c>
      <c r="F189" s="2">
        <v>6.0863763346787891E-3</v>
      </c>
      <c r="G189" s="1" t="str">
        <f t="shared" si="26"/>
        <v/>
      </c>
      <c r="H189" s="1" t="str">
        <f t="shared" si="24"/>
        <v/>
      </c>
      <c r="I189" s="1" t="str">
        <f t="shared" si="27"/>
        <v/>
      </c>
      <c r="J189" s="1" t="str">
        <f t="shared" si="25"/>
        <v/>
      </c>
    </row>
    <row r="190" spans="1:10" x14ac:dyDescent="0.45">
      <c r="A190" t="str">
        <f t="shared" si="19"/>
        <v/>
      </c>
      <c r="B190" s="1" t="str">
        <f t="shared" si="20"/>
        <v/>
      </c>
      <c r="C190" s="1" t="str">
        <f t="shared" si="21"/>
        <v/>
      </c>
      <c r="D190" s="1" t="str">
        <f t="shared" si="22"/>
        <v/>
      </c>
      <c r="E190" s="1" t="str">
        <f t="shared" si="23"/>
        <v/>
      </c>
      <c r="F190" s="2">
        <v>6.0863763346787891E-3</v>
      </c>
      <c r="G190" s="1" t="str">
        <f t="shared" si="26"/>
        <v/>
      </c>
      <c r="H190" s="1" t="str">
        <f t="shared" si="24"/>
        <v/>
      </c>
      <c r="I190" s="1" t="str">
        <f t="shared" si="27"/>
        <v/>
      </c>
      <c r="J190" s="1" t="str">
        <f t="shared" si="25"/>
        <v/>
      </c>
    </row>
    <row r="191" spans="1:10" x14ac:dyDescent="0.45">
      <c r="A191" t="str">
        <f t="shared" si="19"/>
        <v/>
      </c>
      <c r="B191" s="1" t="str">
        <f t="shared" si="20"/>
        <v/>
      </c>
      <c r="C191" s="1" t="str">
        <f t="shared" si="21"/>
        <v/>
      </c>
      <c r="D191" s="1" t="str">
        <f t="shared" si="22"/>
        <v/>
      </c>
      <c r="E191" s="1" t="str">
        <f t="shared" si="23"/>
        <v/>
      </c>
      <c r="F191" s="2">
        <v>6.0863763346787891E-3</v>
      </c>
      <c r="G191" s="1" t="str">
        <f t="shared" si="26"/>
        <v/>
      </c>
      <c r="H191" s="1" t="str">
        <f t="shared" si="24"/>
        <v/>
      </c>
      <c r="I191" s="1" t="str">
        <f t="shared" si="27"/>
        <v/>
      </c>
      <c r="J191" s="1" t="str">
        <f t="shared" si="25"/>
        <v/>
      </c>
    </row>
    <row r="192" spans="1:10" x14ac:dyDescent="0.45">
      <c r="A192" t="str">
        <f t="shared" si="19"/>
        <v/>
      </c>
      <c r="B192" s="1" t="str">
        <f t="shared" si="20"/>
        <v/>
      </c>
      <c r="C192" s="1" t="str">
        <f t="shared" si="21"/>
        <v/>
      </c>
      <c r="D192" s="1" t="str">
        <f t="shared" si="22"/>
        <v/>
      </c>
      <c r="E192" s="1" t="str">
        <f t="shared" si="23"/>
        <v/>
      </c>
      <c r="F192" s="2">
        <v>6.0863763346787891E-3</v>
      </c>
      <c r="G192" s="1" t="str">
        <f t="shared" si="26"/>
        <v/>
      </c>
      <c r="H192" s="1" t="str">
        <f t="shared" si="24"/>
        <v/>
      </c>
      <c r="I192" s="1" t="str">
        <f t="shared" si="27"/>
        <v/>
      </c>
      <c r="J192" s="1" t="str">
        <f t="shared" si="25"/>
        <v/>
      </c>
    </row>
    <row r="193" spans="1:10" x14ac:dyDescent="0.45">
      <c r="A193" t="str">
        <f t="shared" si="19"/>
        <v/>
      </c>
      <c r="B193" s="1" t="str">
        <f t="shared" si="20"/>
        <v/>
      </c>
      <c r="C193" s="1" t="str">
        <f t="shared" si="21"/>
        <v/>
      </c>
      <c r="D193" s="1" t="str">
        <f t="shared" si="22"/>
        <v/>
      </c>
      <c r="E193" s="1" t="str">
        <f t="shared" si="23"/>
        <v/>
      </c>
      <c r="F193" s="2">
        <v>6.0863763346787891E-3</v>
      </c>
      <c r="G193" s="1" t="str">
        <f t="shared" si="26"/>
        <v/>
      </c>
      <c r="H193" s="1" t="str">
        <f t="shared" si="24"/>
        <v/>
      </c>
      <c r="I193" s="1" t="str">
        <f t="shared" si="27"/>
        <v/>
      </c>
      <c r="J193" s="1" t="str">
        <f t="shared" si="25"/>
        <v/>
      </c>
    </row>
    <row r="194" spans="1:10" x14ac:dyDescent="0.45">
      <c r="A194" t="str">
        <f t="shared" si="19"/>
        <v/>
      </c>
      <c r="B194" s="1" t="str">
        <f t="shared" si="20"/>
        <v/>
      </c>
      <c r="C194" s="1" t="str">
        <f t="shared" si="21"/>
        <v/>
      </c>
      <c r="D194" s="1" t="str">
        <f t="shared" si="22"/>
        <v/>
      </c>
      <c r="E194" s="1" t="str">
        <f t="shared" si="23"/>
        <v/>
      </c>
      <c r="F194" s="2">
        <v>6.0863763346787891E-3</v>
      </c>
      <c r="G194" s="1" t="str">
        <f t="shared" si="26"/>
        <v/>
      </c>
      <c r="H194" s="1" t="str">
        <f t="shared" si="24"/>
        <v/>
      </c>
      <c r="I194" s="1" t="str">
        <f t="shared" si="27"/>
        <v/>
      </c>
      <c r="J194" s="1" t="str">
        <f t="shared" si="25"/>
        <v/>
      </c>
    </row>
    <row r="195" spans="1:10" x14ac:dyDescent="0.45">
      <c r="A195" t="str">
        <f t="shared" si="19"/>
        <v/>
      </c>
      <c r="B195" s="1" t="str">
        <f t="shared" si="20"/>
        <v/>
      </c>
      <c r="C195" s="1" t="str">
        <f t="shared" si="21"/>
        <v/>
      </c>
      <c r="D195" s="1" t="str">
        <f t="shared" si="22"/>
        <v/>
      </c>
      <c r="E195" s="1" t="str">
        <f t="shared" si="23"/>
        <v/>
      </c>
      <c r="F195" s="2">
        <v>6.0863763346787891E-3</v>
      </c>
      <c r="G195" s="1" t="str">
        <f t="shared" si="26"/>
        <v/>
      </c>
      <c r="H195" s="1" t="str">
        <f t="shared" si="24"/>
        <v/>
      </c>
      <c r="I195" s="1" t="str">
        <f t="shared" si="27"/>
        <v/>
      </c>
      <c r="J195" s="1" t="str">
        <f t="shared" si="25"/>
        <v/>
      </c>
    </row>
    <row r="196" spans="1:10" x14ac:dyDescent="0.45">
      <c r="A196" t="str">
        <f t="shared" ref="A196:A259" si="28">IF(A195&lt;$O$2*12, A195+1, "")</f>
        <v/>
      </c>
      <c r="B196" s="1" t="str">
        <f t="shared" ref="B196:B259" si="29">IF(A196&gt;$O$2*12, "",IF(AND(A196&lt;=$O$2*12,$O$33="T"), $E$2*$O$21/(1-1/((1+$O$21)^($O$2*12))), IF(AND(A196&lt;=$O$2*12,MOD(A196-1,12*$O$3)&lt;&gt;0),B195,IF(AND(A196&lt;=$O$2*12,MOD(A196-1,12*$O$3)=0), E195*F195/(1-1/((1+F195)^($O$2*12-A195))),""))))</f>
        <v/>
      </c>
      <c r="C196" s="1" t="str">
        <f t="shared" ref="C196:C259" si="30">IF(A196&lt;=$O$2*12,F195*E195,"")</f>
        <v/>
      </c>
      <c r="D196" s="1" t="str">
        <f t="shared" ref="D196:D259" si="31">IF(A196&lt;=$O$2*12, B196-C196+J196,"")</f>
        <v/>
      </c>
      <c r="E196" s="1" t="str">
        <f t="shared" ref="E196:E259" si="32">IF(A196&lt;=($O$2*12), E195-D196, "")</f>
        <v/>
      </c>
      <c r="F196" s="2">
        <v>6.0863763346787891E-3</v>
      </c>
      <c r="G196" s="1" t="str">
        <f t="shared" si="26"/>
        <v/>
      </c>
      <c r="H196" s="1" t="str">
        <f t="shared" ref="H196:H259" si="33">IF(A196&lt;=$O$2*12, I195*(($O$7/2+1)^(1/6)-1), "")</f>
        <v/>
      </c>
      <c r="I196" s="1" t="str">
        <f t="shared" si="27"/>
        <v/>
      </c>
      <c r="J196" s="1" t="str">
        <f t="shared" ref="J196:J259" si="34">IF(A196&gt;$O$2*12, "",IF(MOD(A196, 12) &lt;&gt; 0, 0, IF(I195+H196+G196&gt;B196*12*$O$5, 12*B196*$O$5, IF(I195+H196+G196&lt;=B196*12*$O$5, I195+H196+G196, ""))))</f>
        <v/>
      </c>
    </row>
    <row r="197" spans="1:10" x14ac:dyDescent="0.45">
      <c r="A197" t="str">
        <f t="shared" si="28"/>
        <v/>
      </c>
      <c r="B197" s="1" t="str">
        <f t="shared" si="29"/>
        <v/>
      </c>
      <c r="C197" s="1" t="str">
        <f t="shared" si="30"/>
        <v/>
      </c>
      <c r="D197" s="1" t="str">
        <f t="shared" si="31"/>
        <v/>
      </c>
      <c r="E197" s="1" t="str">
        <f t="shared" si="32"/>
        <v/>
      </c>
      <c r="F197" s="2">
        <v>6.0863763346787891E-3</v>
      </c>
      <c r="G197" s="1" t="str">
        <f t="shared" ref="G197:G260" si="35">IF(A197&gt;$O$2*12, "", IF(MOD(A197-1, 12) = 0, G196*(1+$O$8), G196))</f>
        <v/>
      </c>
      <c r="H197" s="1" t="str">
        <f t="shared" si="33"/>
        <v/>
      </c>
      <c r="I197" s="1" t="str">
        <f t="shared" ref="I197:I260" si="36">IF(A197&gt;$O$2*12, "", IF(MOD(A197, 12) &lt;&gt; 0, I196+G197+H197, I196+G197+H197-J197))</f>
        <v/>
      </c>
      <c r="J197" s="1" t="str">
        <f t="shared" si="34"/>
        <v/>
      </c>
    </row>
    <row r="198" spans="1:10" x14ac:dyDescent="0.45">
      <c r="A198" t="str">
        <f t="shared" si="28"/>
        <v/>
      </c>
      <c r="B198" s="1" t="str">
        <f t="shared" si="29"/>
        <v/>
      </c>
      <c r="C198" s="1" t="str">
        <f t="shared" si="30"/>
        <v/>
      </c>
      <c r="D198" s="1" t="str">
        <f t="shared" si="31"/>
        <v/>
      </c>
      <c r="E198" s="1" t="str">
        <f t="shared" si="32"/>
        <v/>
      </c>
      <c r="F198" s="2">
        <v>6.0863763346787891E-3</v>
      </c>
      <c r="G198" s="1" t="str">
        <f t="shared" si="35"/>
        <v/>
      </c>
      <c r="H198" s="1" t="str">
        <f t="shared" si="33"/>
        <v/>
      </c>
      <c r="I198" s="1" t="str">
        <f t="shared" si="36"/>
        <v/>
      </c>
      <c r="J198" s="1" t="str">
        <f t="shared" si="34"/>
        <v/>
      </c>
    </row>
    <row r="199" spans="1:10" x14ac:dyDescent="0.45">
      <c r="A199" t="str">
        <f t="shared" si="28"/>
        <v/>
      </c>
      <c r="B199" s="1" t="str">
        <f t="shared" si="29"/>
        <v/>
      </c>
      <c r="C199" s="1" t="str">
        <f t="shared" si="30"/>
        <v/>
      </c>
      <c r="D199" s="1" t="str">
        <f t="shared" si="31"/>
        <v/>
      </c>
      <c r="E199" s="1" t="str">
        <f t="shared" si="32"/>
        <v/>
      </c>
      <c r="F199" s="2">
        <v>6.0863763346787891E-3</v>
      </c>
      <c r="G199" s="1" t="str">
        <f t="shared" si="35"/>
        <v/>
      </c>
      <c r="H199" s="1" t="str">
        <f t="shared" si="33"/>
        <v/>
      </c>
      <c r="I199" s="1" t="str">
        <f t="shared" si="36"/>
        <v/>
      </c>
      <c r="J199" s="1" t="str">
        <f t="shared" si="34"/>
        <v/>
      </c>
    </row>
    <row r="200" spans="1:10" x14ac:dyDescent="0.45">
      <c r="A200" t="str">
        <f t="shared" si="28"/>
        <v/>
      </c>
      <c r="B200" s="1" t="str">
        <f t="shared" si="29"/>
        <v/>
      </c>
      <c r="C200" s="1" t="str">
        <f t="shared" si="30"/>
        <v/>
      </c>
      <c r="D200" s="1" t="str">
        <f t="shared" si="31"/>
        <v/>
      </c>
      <c r="E200" s="1" t="str">
        <f t="shared" si="32"/>
        <v/>
      </c>
      <c r="F200" s="2">
        <v>6.0863763346787891E-3</v>
      </c>
      <c r="G200" s="1" t="str">
        <f t="shared" si="35"/>
        <v/>
      </c>
      <c r="H200" s="1" t="str">
        <f t="shared" si="33"/>
        <v/>
      </c>
      <c r="I200" s="1" t="str">
        <f t="shared" si="36"/>
        <v/>
      </c>
      <c r="J200" s="1" t="str">
        <f t="shared" si="34"/>
        <v/>
      </c>
    </row>
    <row r="201" spans="1:10" x14ac:dyDescent="0.45">
      <c r="A201" t="str">
        <f t="shared" si="28"/>
        <v/>
      </c>
      <c r="B201" s="1" t="str">
        <f t="shared" si="29"/>
        <v/>
      </c>
      <c r="C201" s="1" t="str">
        <f t="shared" si="30"/>
        <v/>
      </c>
      <c r="D201" s="1" t="str">
        <f t="shared" si="31"/>
        <v/>
      </c>
      <c r="E201" s="1" t="str">
        <f t="shared" si="32"/>
        <v/>
      </c>
      <c r="F201" s="2">
        <v>6.0863763346787891E-3</v>
      </c>
      <c r="G201" s="1" t="str">
        <f t="shared" si="35"/>
        <v/>
      </c>
      <c r="H201" s="1" t="str">
        <f t="shared" si="33"/>
        <v/>
      </c>
      <c r="I201" s="1" t="str">
        <f t="shared" si="36"/>
        <v/>
      </c>
      <c r="J201" s="1" t="str">
        <f t="shared" si="34"/>
        <v/>
      </c>
    </row>
    <row r="202" spans="1:10" x14ac:dyDescent="0.45">
      <c r="A202" t="str">
        <f t="shared" si="28"/>
        <v/>
      </c>
      <c r="B202" s="1" t="str">
        <f t="shared" si="29"/>
        <v/>
      </c>
      <c r="C202" s="1" t="str">
        <f t="shared" si="30"/>
        <v/>
      </c>
      <c r="D202" s="1" t="str">
        <f t="shared" si="31"/>
        <v/>
      </c>
      <c r="E202" s="1" t="str">
        <f t="shared" si="32"/>
        <v/>
      </c>
      <c r="F202" s="2">
        <v>6.0863763346787891E-3</v>
      </c>
      <c r="G202" s="1" t="str">
        <f t="shared" si="35"/>
        <v/>
      </c>
      <c r="H202" s="1" t="str">
        <f t="shared" si="33"/>
        <v/>
      </c>
      <c r="I202" s="1" t="str">
        <f t="shared" si="36"/>
        <v/>
      </c>
      <c r="J202" s="1" t="str">
        <f t="shared" si="34"/>
        <v/>
      </c>
    </row>
    <row r="203" spans="1:10" x14ac:dyDescent="0.45">
      <c r="A203" t="str">
        <f t="shared" si="28"/>
        <v/>
      </c>
      <c r="B203" s="1" t="str">
        <f t="shared" si="29"/>
        <v/>
      </c>
      <c r="C203" s="1" t="str">
        <f t="shared" si="30"/>
        <v/>
      </c>
      <c r="D203" s="1" t="str">
        <f t="shared" si="31"/>
        <v/>
      </c>
      <c r="E203" s="1" t="str">
        <f t="shared" si="32"/>
        <v/>
      </c>
      <c r="F203" s="2">
        <v>6.0863763346787891E-3</v>
      </c>
      <c r="G203" s="1" t="str">
        <f t="shared" si="35"/>
        <v/>
      </c>
      <c r="H203" s="1" t="str">
        <f t="shared" si="33"/>
        <v/>
      </c>
      <c r="I203" s="1" t="str">
        <f t="shared" si="36"/>
        <v/>
      </c>
      <c r="J203" s="1" t="str">
        <f t="shared" si="34"/>
        <v/>
      </c>
    </row>
    <row r="204" spans="1:10" x14ac:dyDescent="0.45">
      <c r="A204" t="str">
        <f t="shared" si="28"/>
        <v/>
      </c>
      <c r="B204" s="1" t="str">
        <f t="shared" si="29"/>
        <v/>
      </c>
      <c r="C204" s="1" t="str">
        <f t="shared" si="30"/>
        <v/>
      </c>
      <c r="D204" s="1" t="str">
        <f t="shared" si="31"/>
        <v/>
      </c>
      <c r="E204" s="1" t="str">
        <f t="shared" si="32"/>
        <v/>
      </c>
      <c r="F204" s="2">
        <v>6.0863763346787891E-3</v>
      </c>
      <c r="G204" s="1" t="str">
        <f t="shared" si="35"/>
        <v/>
      </c>
      <c r="H204" s="1" t="str">
        <f t="shared" si="33"/>
        <v/>
      </c>
      <c r="I204" s="1" t="str">
        <f t="shared" si="36"/>
        <v/>
      </c>
      <c r="J204" s="1" t="str">
        <f t="shared" si="34"/>
        <v/>
      </c>
    </row>
    <row r="205" spans="1:10" x14ac:dyDescent="0.45">
      <c r="A205" t="str">
        <f t="shared" si="28"/>
        <v/>
      </c>
      <c r="B205" s="1" t="str">
        <f t="shared" si="29"/>
        <v/>
      </c>
      <c r="C205" s="1" t="str">
        <f t="shared" si="30"/>
        <v/>
      </c>
      <c r="D205" s="1" t="str">
        <f t="shared" si="31"/>
        <v/>
      </c>
      <c r="E205" s="1" t="str">
        <f t="shared" si="32"/>
        <v/>
      </c>
      <c r="F205" s="2">
        <v>6.0863763346787891E-3</v>
      </c>
      <c r="G205" s="1" t="str">
        <f t="shared" si="35"/>
        <v/>
      </c>
      <c r="H205" s="1" t="str">
        <f t="shared" si="33"/>
        <v/>
      </c>
      <c r="I205" s="1" t="str">
        <f t="shared" si="36"/>
        <v/>
      </c>
      <c r="J205" s="1" t="str">
        <f t="shared" si="34"/>
        <v/>
      </c>
    </row>
    <row r="206" spans="1:10" x14ac:dyDescent="0.45">
      <c r="A206" t="str">
        <f t="shared" si="28"/>
        <v/>
      </c>
      <c r="B206" s="1" t="str">
        <f t="shared" si="29"/>
        <v/>
      </c>
      <c r="C206" s="1" t="str">
        <f t="shared" si="30"/>
        <v/>
      </c>
      <c r="D206" s="1" t="str">
        <f t="shared" si="31"/>
        <v/>
      </c>
      <c r="E206" s="1" t="str">
        <f t="shared" si="32"/>
        <v/>
      </c>
      <c r="F206" s="2">
        <v>6.0863763346787891E-3</v>
      </c>
      <c r="G206" s="1" t="str">
        <f t="shared" si="35"/>
        <v/>
      </c>
      <c r="H206" s="1" t="str">
        <f t="shared" si="33"/>
        <v/>
      </c>
      <c r="I206" s="1" t="str">
        <f t="shared" si="36"/>
        <v/>
      </c>
      <c r="J206" s="1" t="str">
        <f t="shared" si="34"/>
        <v/>
      </c>
    </row>
    <row r="207" spans="1:10" x14ac:dyDescent="0.45">
      <c r="A207" t="str">
        <f t="shared" si="28"/>
        <v/>
      </c>
      <c r="B207" s="1" t="str">
        <f t="shared" si="29"/>
        <v/>
      </c>
      <c r="C207" s="1" t="str">
        <f t="shared" si="30"/>
        <v/>
      </c>
      <c r="D207" s="1" t="str">
        <f t="shared" si="31"/>
        <v/>
      </c>
      <c r="E207" s="1" t="str">
        <f t="shared" si="32"/>
        <v/>
      </c>
      <c r="F207" s="2">
        <v>6.0863763346787891E-3</v>
      </c>
      <c r="G207" s="1" t="str">
        <f t="shared" si="35"/>
        <v/>
      </c>
      <c r="H207" s="1" t="str">
        <f t="shared" si="33"/>
        <v/>
      </c>
      <c r="I207" s="1" t="str">
        <f t="shared" si="36"/>
        <v/>
      </c>
      <c r="J207" s="1" t="str">
        <f t="shared" si="34"/>
        <v/>
      </c>
    </row>
    <row r="208" spans="1:10" x14ac:dyDescent="0.45">
      <c r="A208" t="str">
        <f t="shared" si="28"/>
        <v/>
      </c>
      <c r="B208" s="1" t="str">
        <f t="shared" si="29"/>
        <v/>
      </c>
      <c r="C208" s="1" t="str">
        <f t="shared" si="30"/>
        <v/>
      </c>
      <c r="D208" s="1" t="str">
        <f t="shared" si="31"/>
        <v/>
      </c>
      <c r="E208" s="1" t="str">
        <f t="shared" si="32"/>
        <v/>
      </c>
      <c r="F208" s="2">
        <v>6.0863763346787891E-3</v>
      </c>
      <c r="G208" s="1" t="str">
        <f t="shared" si="35"/>
        <v/>
      </c>
      <c r="H208" s="1" t="str">
        <f t="shared" si="33"/>
        <v/>
      </c>
      <c r="I208" s="1" t="str">
        <f t="shared" si="36"/>
        <v/>
      </c>
      <c r="J208" s="1" t="str">
        <f t="shared" si="34"/>
        <v/>
      </c>
    </row>
    <row r="209" spans="1:10" x14ac:dyDescent="0.45">
      <c r="A209" t="str">
        <f t="shared" si="28"/>
        <v/>
      </c>
      <c r="B209" s="1" t="str">
        <f t="shared" si="29"/>
        <v/>
      </c>
      <c r="C209" s="1" t="str">
        <f t="shared" si="30"/>
        <v/>
      </c>
      <c r="D209" s="1" t="str">
        <f t="shared" si="31"/>
        <v/>
      </c>
      <c r="E209" s="1" t="str">
        <f t="shared" si="32"/>
        <v/>
      </c>
      <c r="F209" s="2">
        <v>6.0863763346787891E-3</v>
      </c>
      <c r="G209" s="1" t="str">
        <f t="shared" si="35"/>
        <v/>
      </c>
      <c r="H209" s="1" t="str">
        <f t="shared" si="33"/>
        <v/>
      </c>
      <c r="I209" s="1" t="str">
        <f t="shared" si="36"/>
        <v/>
      </c>
      <c r="J209" s="1" t="str">
        <f t="shared" si="34"/>
        <v/>
      </c>
    </row>
    <row r="210" spans="1:10" x14ac:dyDescent="0.45">
      <c r="A210" t="str">
        <f t="shared" si="28"/>
        <v/>
      </c>
      <c r="B210" s="1" t="str">
        <f t="shared" si="29"/>
        <v/>
      </c>
      <c r="C210" s="1" t="str">
        <f t="shared" si="30"/>
        <v/>
      </c>
      <c r="D210" s="1" t="str">
        <f t="shared" si="31"/>
        <v/>
      </c>
      <c r="E210" s="1" t="str">
        <f t="shared" si="32"/>
        <v/>
      </c>
      <c r="F210" s="2">
        <v>6.0863763346787891E-3</v>
      </c>
      <c r="G210" s="1" t="str">
        <f t="shared" si="35"/>
        <v/>
      </c>
      <c r="H210" s="1" t="str">
        <f t="shared" si="33"/>
        <v/>
      </c>
      <c r="I210" s="1" t="str">
        <f t="shared" si="36"/>
        <v/>
      </c>
      <c r="J210" s="1" t="str">
        <f t="shared" si="34"/>
        <v/>
      </c>
    </row>
    <row r="211" spans="1:10" x14ac:dyDescent="0.45">
      <c r="A211" t="str">
        <f t="shared" si="28"/>
        <v/>
      </c>
      <c r="B211" s="1" t="str">
        <f t="shared" si="29"/>
        <v/>
      </c>
      <c r="C211" s="1" t="str">
        <f t="shared" si="30"/>
        <v/>
      </c>
      <c r="D211" s="1" t="str">
        <f t="shared" si="31"/>
        <v/>
      </c>
      <c r="E211" s="1" t="str">
        <f t="shared" si="32"/>
        <v/>
      </c>
      <c r="F211" s="2">
        <v>6.0863763346787891E-3</v>
      </c>
      <c r="G211" s="1" t="str">
        <f t="shared" si="35"/>
        <v/>
      </c>
      <c r="H211" s="1" t="str">
        <f t="shared" si="33"/>
        <v/>
      </c>
      <c r="I211" s="1" t="str">
        <f t="shared" si="36"/>
        <v/>
      </c>
      <c r="J211" s="1" t="str">
        <f t="shared" si="34"/>
        <v/>
      </c>
    </row>
    <row r="212" spans="1:10" x14ac:dyDescent="0.45">
      <c r="A212" t="str">
        <f t="shared" si="28"/>
        <v/>
      </c>
      <c r="B212" s="1" t="str">
        <f t="shared" si="29"/>
        <v/>
      </c>
      <c r="C212" s="1" t="str">
        <f t="shared" si="30"/>
        <v/>
      </c>
      <c r="D212" s="1" t="str">
        <f t="shared" si="31"/>
        <v/>
      </c>
      <c r="E212" s="1" t="str">
        <f t="shared" si="32"/>
        <v/>
      </c>
      <c r="F212" s="2">
        <v>6.0863763346787891E-3</v>
      </c>
      <c r="G212" s="1" t="str">
        <f t="shared" si="35"/>
        <v/>
      </c>
      <c r="H212" s="1" t="str">
        <f t="shared" si="33"/>
        <v/>
      </c>
      <c r="I212" s="1" t="str">
        <f t="shared" si="36"/>
        <v/>
      </c>
      <c r="J212" s="1" t="str">
        <f t="shared" si="34"/>
        <v/>
      </c>
    </row>
    <row r="213" spans="1:10" x14ac:dyDescent="0.45">
      <c r="A213" t="str">
        <f t="shared" si="28"/>
        <v/>
      </c>
      <c r="B213" s="1" t="str">
        <f t="shared" si="29"/>
        <v/>
      </c>
      <c r="C213" s="1" t="str">
        <f t="shared" si="30"/>
        <v/>
      </c>
      <c r="D213" s="1" t="str">
        <f t="shared" si="31"/>
        <v/>
      </c>
      <c r="E213" s="1" t="str">
        <f t="shared" si="32"/>
        <v/>
      </c>
      <c r="F213" s="2">
        <v>6.0863763346787891E-3</v>
      </c>
      <c r="G213" s="1" t="str">
        <f t="shared" si="35"/>
        <v/>
      </c>
      <c r="H213" s="1" t="str">
        <f t="shared" si="33"/>
        <v/>
      </c>
      <c r="I213" s="1" t="str">
        <f t="shared" si="36"/>
        <v/>
      </c>
      <c r="J213" s="1" t="str">
        <f t="shared" si="34"/>
        <v/>
      </c>
    </row>
    <row r="214" spans="1:10" x14ac:dyDescent="0.45">
      <c r="A214" t="str">
        <f t="shared" si="28"/>
        <v/>
      </c>
      <c r="B214" s="1" t="str">
        <f t="shared" si="29"/>
        <v/>
      </c>
      <c r="C214" s="1" t="str">
        <f t="shared" si="30"/>
        <v/>
      </c>
      <c r="D214" s="1" t="str">
        <f t="shared" si="31"/>
        <v/>
      </c>
      <c r="E214" s="1" t="str">
        <f t="shared" si="32"/>
        <v/>
      </c>
      <c r="F214" s="2">
        <v>6.0863763346787891E-3</v>
      </c>
      <c r="G214" s="1" t="str">
        <f t="shared" si="35"/>
        <v/>
      </c>
      <c r="H214" s="1" t="str">
        <f t="shared" si="33"/>
        <v/>
      </c>
      <c r="I214" s="1" t="str">
        <f t="shared" si="36"/>
        <v/>
      </c>
      <c r="J214" s="1" t="str">
        <f t="shared" si="34"/>
        <v/>
      </c>
    </row>
    <row r="215" spans="1:10" x14ac:dyDescent="0.45">
      <c r="A215" t="str">
        <f t="shared" si="28"/>
        <v/>
      </c>
      <c r="B215" s="1" t="str">
        <f t="shared" si="29"/>
        <v/>
      </c>
      <c r="C215" s="1" t="str">
        <f t="shared" si="30"/>
        <v/>
      </c>
      <c r="D215" s="1" t="str">
        <f t="shared" si="31"/>
        <v/>
      </c>
      <c r="E215" s="1" t="str">
        <f t="shared" si="32"/>
        <v/>
      </c>
      <c r="F215" s="2">
        <v>6.0863763346787891E-3</v>
      </c>
      <c r="G215" s="1" t="str">
        <f t="shared" si="35"/>
        <v/>
      </c>
      <c r="H215" s="1" t="str">
        <f t="shared" si="33"/>
        <v/>
      </c>
      <c r="I215" s="1" t="str">
        <f t="shared" si="36"/>
        <v/>
      </c>
      <c r="J215" s="1" t="str">
        <f t="shared" si="34"/>
        <v/>
      </c>
    </row>
    <row r="216" spans="1:10" x14ac:dyDescent="0.45">
      <c r="A216" t="str">
        <f t="shared" si="28"/>
        <v/>
      </c>
      <c r="B216" s="1" t="str">
        <f t="shared" si="29"/>
        <v/>
      </c>
      <c r="C216" s="1" t="str">
        <f t="shared" si="30"/>
        <v/>
      </c>
      <c r="D216" s="1" t="str">
        <f t="shared" si="31"/>
        <v/>
      </c>
      <c r="E216" s="1" t="str">
        <f t="shared" si="32"/>
        <v/>
      </c>
      <c r="F216" s="2">
        <v>6.0863763346787891E-3</v>
      </c>
      <c r="G216" s="1" t="str">
        <f t="shared" si="35"/>
        <v/>
      </c>
      <c r="H216" s="1" t="str">
        <f t="shared" si="33"/>
        <v/>
      </c>
      <c r="I216" s="1" t="str">
        <f t="shared" si="36"/>
        <v/>
      </c>
      <c r="J216" s="1" t="str">
        <f t="shared" si="34"/>
        <v/>
      </c>
    </row>
    <row r="217" spans="1:10" x14ac:dyDescent="0.45">
      <c r="A217" t="str">
        <f t="shared" si="28"/>
        <v/>
      </c>
      <c r="B217" s="1" t="str">
        <f t="shared" si="29"/>
        <v/>
      </c>
      <c r="C217" s="1" t="str">
        <f t="shared" si="30"/>
        <v/>
      </c>
      <c r="D217" s="1" t="str">
        <f t="shared" si="31"/>
        <v/>
      </c>
      <c r="E217" s="1" t="str">
        <f t="shared" si="32"/>
        <v/>
      </c>
      <c r="F217" s="2">
        <v>6.0863763346787891E-3</v>
      </c>
      <c r="G217" s="1" t="str">
        <f t="shared" si="35"/>
        <v/>
      </c>
      <c r="H217" s="1" t="str">
        <f t="shared" si="33"/>
        <v/>
      </c>
      <c r="I217" s="1" t="str">
        <f t="shared" si="36"/>
        <v/>
      </c>
      <c r="J217" s="1" t="str">
        <f t="shared" si="34"/>
        <v/>
      </c>
    </row>
    <row r="218" spans="1:10" x14ac:dyDescent="0.45">
      <c r="A218" t="str">
        <f t="shared" si="28"/>
        <v/>
      </c>
      <c r="B218" s="1" t="str">
        <f t="shared" si="29"/>
        <v/>
      </c>
      <c r="C218" s="1" t="str">
        <f t="shared" si="30"/>
        <v/>
      </c>
      <c r="D218" s="1" t="str">
        <f t="shared" si="31"/>
        <v/>
      </c>
      <c r="E218" s="1" t="str">
        <f t="shared" si="32"/>
        <v/>
      </c>
      <c r="F218" s="2">
        <v>6.0863763346787891E-3</v>
      </c>
      <c r="G218" s="1" t="str">
        <f t="shared" si="35"/>
        <v/>
      </c>
      <c r="H218" s="1" t="str">
        <f t="shared" si="33"/>
        <v/>
      </c>
      <c r="I218" s="1" t="str">
        <f t="shared" si="36"/>
        <v/>
      </c>
      <c r="J218" s="1" t="str">
        <f t="shared" si="34"/>
        <v/>
      </c>
    </row>
    <row r="219" spans="1:10" x14ac:dyDescent="0.45">
      <c r="A219" t="str">
        <f t="shared" si="28"/>
        <v/>
      </c>
      <c r="B219" s="1" t="str">
        <f t="shared" si="29"/>
        <v/>
      </c>
      <c r="C219" s="1" t="str">
        <f t="shared" si="30"/>
        <v/>
      </c>
      <c r="D219" s="1" t="str">
        <f t="shared" si="31"/>
        <v/>
      </c>
      <c r="E219" s="1" t="str">
        <f t="shared" si="32"/>
        <v/>
      </c>
      <c r="F219" s="2">
        <v>6.0863763346787891E-3</v>
      </c>
      <c r="G219" s="1" t="str">
        <f t="shared" si="35"/>
        <v/>
      </c>
      <c r="H219" s="1" t="str">
        <f t="shared" si="33"/>
        <v/>
      </c>
      <c r="I219" s="1" t="str">
        <f t="shared" si="36"/>
        <v/>
      </c>
      <c r="J219" s="1" t="str">
        <f t="shared" si="34"/>
        <v/>
      </c>
    </row>
    <row r="220" spans="1:10" x14ac:dyDescent="0.45">
      <c r="A220" t="str">
        <f t="shared" si="28"/>
        <v/>
      </c>
      <c r="B220" s="1" t="str">
        <f t="shared" si="29"/>
        <v/>
      </c>
      <c r="C220" s="1" t="str">
        <f t="shared" si="30"/>
        <v/>
      </c>
      <c r="D220" s="1" t="str">
        <f t="shared" si="31"/>
        <v/>
      </c>
      <c r="E220" s="1" t="str">
        <f t="shared" si="32"/>
        <v/>
      </c>
      <c r="F220" s="2">
        <v>6.0863763346787891E-3</v>
      </c>
      <c r="G220" s="1" t="str">
        <f t="shared" si="35"/>
        <v/>
      </c>
      <c r="H220" s="1" t="str">
        <f t="shared" si="33"/>
        <v/>
      </c>
      <c r="I220" s="1" t="str">
        <f t="shared" si="36"/>
        <v/>
      </c>
      <c r="J220" s="1" t="str">
        <f t="shared" si="34"/>
        <v/>
      </c>
    </row>
    <row r="221" spans="1:10" x14ac:dyDescent="0.45">
      <c r="A221" t="str">
        <f t="shared" si="28"/>
        <v/>
      </c>
      <c r="B221" s="1" t="str">
        <f t="shared" si="29"/>
        <v/>
      </c>
      <c r="C221" s="1" t="str">
        <f t="shared" si="30"/>
        <v/>
      </c>
      <c r="D221" s="1" t="str">
        <f t="shared" si="31"/>
        <v/>
      </c>
      <c r="E221" s="1" t="str">
        <f t="shared" si="32"/>
        <v/>
      </c>
      <c r="F221" s="2">
        <v>6.0863763346787891E-3</v>
      </c>
      <c r="G221" s="1" t="str">
        <f t="shared" si="35"/>
        <v/>
      </c>
      <c r="H221" s="1" t="str">
        <f t="shared" si="33"/>
        <v/>
      </c>
      <c r="I221" s="1" t="str">
        <f t="shared" si="36"/>
        <v/>
      </c>
      <c r="J221" s="1" t="str">
        <f t="shared" si="34"/>
        <v/>
      </c>
    </row>
    <row r="222" spans="1:10" x14ac:dyDescent="0.45">
      <c r="A222" t="str">
        <f t="shared" si="28"/>
        <v/>
      </c>
      <c r="B222" s="1" t="str">
        <f t="shared" si="29"/>
        <v/>
      </c>
      <c r="C222" s="1" t="str">
        <f t="shared" si="30"/>
        <v/>
      </c>
      <c r="D222" s="1" t="str">
        <f t="shared" si="31"/>
        <v/>
      </c>
      <c r="E222" s="1" t="str">
        <f t="shared" si="32"/>
        <v/>
      </c>
      <c r="F222" s="2">
        <v>6.0863763346787891E-3</v>
      </c>
      <c r="G222" s="1" t="str">
        <f t="shared" si="35"/>
        <v/>
      </c>
      <c r="H222" s="1" t="str">
        <f t="shared" si="33"/>
        <v/>
      </c>
      <c r="I222" s="1" t="str">
        <f t="shared" si="36"/>
        <v/>
      </c>
      <c r="J222" s="1" t="str">
        <f t="shared" si="34"/>
        <v/>
      </c>
    </row>
    <row r="223" spans="1:10" x14ac:dyDescent="0.45">
      <c r="A223" t="str">
        <f t="shared" si="28"/>
        <v/>
      </c>
      <c r="B223" s="1" t="str">
        <f t="shared" si="29"/>
        <v/>
      </c>
      <c r="C223" s="1" t="str">
        <f t="shared" si="30"/>
        <v/>
      </c>
      <c r="D223" s="1" t="str">
        <f t="shared" si="31"/>
        <v/>
      </c>
      <c r="E223" s="1" t="str">
        <f t="shared" si="32"/>
        <v/>
      </c>
      <c r="F223" s="2">
        <v>6.0863763346787891E-3</v>
      </c>
      <c r="G223" s="1" t="str">
        <f t="shared" si="35"/>
        <v/>
      </c>
      <c r="H223" s="1" t="str">
        <f t="shared" si="33"/>
        <v/>
      </c>
      <c r="I223" s="1" t="str">
        <f t="shared" si="36"/>
        <v/>
      </c>
      <c r="J223" s="1" t="str">
        <f t="shared" si="34"/>
        <v/>
      </c>
    </row>
    <row r="224" spans="1:10" x14ac:dyDescent="0.45">
      <c r="A224" t="str">
        <f t="shared" si="28"/>
        <v/>
      </c>
      <c r="B224" s="1" t="str">
        <f t="shared" si="29"/>
        <v/>
      </c>
      <c r="C224" s="1" t="str">
        <f t="shared" si="30"/>
        <v/>
      </c>
      <c r="D224" s="1" t="str">
        <f t="shared" si="31"/>
        <v/>
      </c>
      <c r="E224" s="1" t="str">
        <f t="shared" si="32"/>
        <v/>
      </c>
      <c r="F224" s="2">
        <v>6.0863763346787891E-3</v>
      </c>
      <c r="G224" s="1" t="str">
        <f t="shared" si="35"/>
        <v/>
      </c>
      <c r="H224" s="1" t="str">
        <f t="shared" si="33"/>
        <v/>
      </c>
      <c r="I224" s="1" t="str">
        <f t="shared" si="36"/>
        <v/>
      </c>
      <c r="J224" s="1" t="str">
        <f t="shared" si="34"/>
        <v/>
      </c>
    </row>
    <row r="225" spans="1:10" x14ac:dyDescent="0.45">
      <c r="A225" t="str">
        <f t="shared" si="28"/>
        <v/>
      </c>
      <c r="B225" s="1" t="str">
        <f t="shared" si="29"/>
        <v/>
      </c>
      <c r="C225" s="1" t="str">
        <f t="shared" si="30"/>
        <v/>
      </c>
      <c r="D225" s="1" t="str">
        <f t="shared" si="31"/>
        <v/>
      </c>
      <c r="E225" s="1" t="str">
        <f t="shared" si="32"/>
        <v/>
      </c>
      <c r="F225" s="2">
        <v>6.0863763346787891E-3</v>
      </c>
      <c r="G225" s="1" t="str">
        <f t="shared" si="35"/>
        <v/>
      </c>
      <c r="H225" s="1" t="str">
        <f t="shared" si="33"/>
        <v/>
      </c>
      <c r="I225" s="1" t="str">
        <f t="shared" si="36"/>
        <v/>
      </c>
      <c r="J225" s="1" t="str">
        <f t="shared" si="34"/>
        <v/>
      </c>
    </row>
    <row r="226" spans="1:10" x14ac:dyDescent="0.45">
      <c r="A226" t="str">
        <f t="shared" si="28"/>
        <v/>
      </c>
      <c r="B226" s="1" t="str">
        <f t="shared" si="29"/>
        <v/>
      </c>
      <c r="C226" s="1" t="str">
        <f t="shared" si="30"/>
        <v/>
      </c>
      <c r="D226" s="1" t="str">
        <f t="shared" si="31"/>
        <v/>
      </c>
      <c r="E226" s="1" t="str">
        <f t="shared" si="32"/>
        <v/>
      </c>
      <c r="F226" s="2">
        <v>6.0863763346787891E-3</v>
      </c>
      <c r="G226" s="1" t="str">
        <f t="shared" si="35"/>
        <v/>
      </c>
      <c r="H226" s="1" t="str">
        <f t="shared" si="33"/>
        <v/>
      </c>
      <c r="I226" s="1" t="str">
        <f t="shared" si="36"/>
        <v/>
      </c>
      <c r="J226" s="1" t="str">
        <f t="shared" si="34"/>
        <v/>
      </c>
    </row>
    <row r="227" spans="1:10" x14ac:dyDescent="0.45">
      <c r="A227" t="str">
        <f t="shared" si="28"/>
        <v/>
      </c>
      <c r="B227" s="1" t="str">
        <f t="shared" si="29"/>
        <v/>
      </c>
      <c r="C227" s="1" t="str">
        <f t="shared" si="30"/>
        <v/>
      </c>
      <c r="D227" s="1" t="str">
        <f t="shared" si="31"/>
        <v/>
      </c>
      <c r="E227" s="1" t="str">
        <f t="shared" si="32"/>
        <v/>
      </c>
      <c r="F227" s="2">
        <v>6.0863763346787891E-3</v>
      </c>
      <c r="G227" s="1" t="str">
        <f t="shared" si="35"/>
        <v/>
      </c>
      <c r="H227" s="1" t="str">
        <f t="shared" si="33"/>
        <v/>
      </c>
      <c r="I227" s="1" t="str">
        <f t="shared" si="36"/>
        <v/>
      </c>
      <c r="J227" s="1" t="str">
        <f t="shared" si="34"/>
        <v/>
      </c>
    </row>
    <row r="228" spans="1:10" x14ac:dyDescent="0.45">
      <c r="A228" t="str">
        <f t="shared" si="28"/>
        <v/>
      </c>
      <c r="B228" s="1" t="str">
        <f t="shared" si="29"/>
        <v/>
      </c>
      <c r="C228" s="1" t="str">
        <f t="shared" si="30"/>
        <v/>
      </c>
      <c r="D228" s="1" t="str">
        <f t="shared" si="31"/>
        <v/>
      </c>
      <c r="E228" s="1" t="str">
        <f t="shared" si="32"/>
        <v/>
      </c>
      <c r="F228" s="2">
        <v>6.0863763346787891E-3</v>
      </c>
      <c r="G228" s="1" t="str">
        <f t="shared" si="35"/>
        <v/>
      </c>
      <c r="H228" s="1" t="str">
        <f t="shared" si="33"/>
        <v/>
      </c>
      <c r="I228" s="1" t="str">
        <f t="shared" si="36"/>
        <v/>
      </c>
      <c r="J228" s="1" t="str">
        <f t="shared" si="34"/>
        <v/>
      </c>
    </row>
    <row r="229" spans="1:10" x14ac:dyDescent="0.45">
      <c r="A229" t="str">
        <f t="shared" si="28"/>
        <v/>
      </c>
      <c r="B229" s="1" t="str">
        <f t="shared" si="29"/>
        <v/>
      </c>
      <c r="C229" s="1" t="str">
        <f t="shared" si="30"/>
        <v/>
      </c>
      <c r="D229" s="1" t="str">
        <f t="shared" si="31"/>
        <v/>
      </c>
      <c r="E229" s="1" t="str">
        <f t="shared" si="32"/>
        <v/>
      </c>
      <c r="F229" s="2">
        <v>6.0863763346787891E-3</v>
      </c>
      <c r="G229" s="1" t="str">
        <f t="shared" si="35"/>
        <v/>
      </c>
      <c r="H229" s="1" t="str">
        <f t="shared" si="33"/>
        <v/>
      </c>
      <c r="I229" s="1" t="str">
        <f t="shared" si="36"/>
        <v/>
      </c>
      <c r="J229" s="1" t="str">
        <f t="shared" si="34"/>
        <v/>
      </c>
    </row>
    <row r="230" spans="1:10" x14ac:dyDescent="0.45">
      <c r="A230" t="str">
        <f t="shared" si="28"/>
        <v/>
      </c>
      <c r="B230" s="1" t="str">
        <f t="shared" si="29"/>
        <v/>
      </c>
      <c r="C230" s="1" t="str">
        <f t="shared" si="30"/>
        <v/>
      </c>
      <c r="D230" s="1" t="str">
        <f t="shared" si="31"/>
        <v/>
      </c>
      <c r="E230" s="1" t="str">
        <f t="shared" si="32"/>
        <v/>
      </c>
      <c r="F230" s="2">
        <v>6.0863763346787891E-3</v>
      </c>
      <c r="G230" s="1" t="str">
        <f t="shared" si="35"/>
        <v/>
      </c>
      <c r="H230" s="1" t="str">
        <f t="shared" si="33"/>
        <v/>
      </c>
      <c r="I230" s="1" t="str">
        <f t="shared" si="36"/>
        <v/>
      </c>
      <c r="J230" s="1" t="str">
        <f t="shared" si="34"/>
        <v/>
      </c>
    </row>
    <row r="231" spans="1:10" x14ac:dyDescent="0.45">
      <c r="A231" t="str">
        <f t="shared" si="28"/>
        <v/>
      </c>
      <c r="B231" s="1" t="str">
        <f t="shared" si="29"/>
        <v/>
      </c>
      <c r="C231" s="1" t="str">
        <f t="shared" si="30"/>
        <v/>
      </c>
      <c r="D231" s="1" t="str">
        <f t="shared" si="31"/>
        <v/>
      </c>
      <c r="E231" s="1" t="str">
        <f t="shared" si="32"/>
        <v/>
      </c>
      <c r="F231" s="2">
        <v>6.0863763346787891E-3</v>
      </c>
      <c r="G231" s="1" t="str">
        <f t="shared" si="35"/>
        <v/>
      </c>
      <c r="H231" s="1" t="str">
        <f t="shared" si="33"/>
        <v/>
      </c>
      <c r="I231" s="1" t="str">
        <f t="shared" si="36"/>
        <v/>
      </c>
      <c r="J231" s="1" t="str">
        <f t="shared" si="34"/>
        <v/>
      </c>
    </row>
    <row r="232" spans="1:10" x14ac:dyDescent="0.45">
      <c r="A232" t="str">
        <f t="shared" si="28"/>
        <v/>
      </c>
      <c r="B232" s="1" t="str">
        <f t="shared" si="29"/>
        <v/>
      </c>
      <c r="C232" s="1" t="str">
        <f t="shared" si="30"/>
        <v/>
      </c>
      <c r="D232" s="1" t="str">
        <f t="shared" si="31"/>
        <v/>
      </c>
      <c r="E232" s="1" t="str">
        <f t="shared" si="32"/>
        <v/>
      </c>
      <c r="F232" s="2">
        <v>6.0863763346787891E-3</v>
      </c>
      <c r="G232" s="1" t="str">
        <f t="shared" si="35"/>
        <v/>
      </c>
      <c r="H232" s="1" t="str">
        <f t="shared" si="33"/>
        <v/>
      </c>
      <c r="I232" s="1" t="str">
        <f t="shared" si="36"/>
        <v/>
      </c>
      <c r="J232" s="1" t="str">
        <f t="shared" si="34"/>
        <v/>
      </c>
    </row>
    <row r="233" spans="1:10" x14ac:dyDescent="0.45">
      <c r="A233" t="str">
        <f t="shared" si="28"/>
        <v/>
      </c>
      <c r="B233" s="1" t="str">
        <f t="shared" si="29"/>
        <v/>
      </c>
      <c r="C233" s="1" t="str">
        <f t="shared" si="30"/>
        <v/>
      </c>
      <c r="D233" s="1" t="str">
        <f t="shared" si="31"/>
        <v/>
      </c>
      <c r="E233" s="1" t="str">
        <f t="shared" si="32"/>
        <v/>
      </c>
      <c r="F233" s="2">
        <v>6.0863763346787891E-3</v>
      </c>
      <c r="G233" s="1" t="str">
        <f t="shared" si="35"/>
        <v/>
      </c>
      <c r="H233" s="1" t="str">
        <f t="shared" si="33"/>
        <v/>
      </c>
      <c r="I233" s="1" t="str">
        <f t="shared" si="36"/>
        <v/>
      </c>
      <c r="J233" s="1" t="str">
        <f t="shared" si="34"/>
        <v/>
      </c>
    </row>
    <row r="234" spans="1:10" x14ac:dyDescent="0.45">
      <c r="A234" t="str">
        <f t="shared" si="28"/>
        <v/>
      </c>
      <c r="B234" s="1" t="str">
        <f t="shared" si="29"/>
        <v/>
      </c>
      <c r="C234" s="1" t="str">
        <f t="shared" si="30"/>
        <v/>
      </c>
      <c r="D234" s="1" t="str">
        <f t="shared" si="31"/>
        <v/>
      </c>
      <c r="E234" s="1" t="str">
        <f t="shared" si="32"/>
        <v/>
      </c>
      <c r="F234" s="2">
        <v>6.0863763346787891E-3</v>
      </c>
      <c r="G234" s="1" t="str">
        <f t="shared" si="35"/>
        <v/>
      </c>
      <c r="H234" s="1" t="str">
        <f t="shared" si="33"/>
        <v/>
      </c>
      <c r="I234" s="1" t="str">
        <f t="shared" si="36"/>
        <v/>
      </c>
      <c r="J234" s="1" t="str">
        <f t="shared" si="34"/>
        <v/>
      </c>
    </row>
    <row r="235" spans="1:10" x14ac:dyDescent="0.45">
      <c r="A235" t="str">
        <f t="shared" si="28"/>
        <v/>
      </c>
      <c r="B235" s="1" t="str">
        <f t="shared" si="29"/>
        <v/>
      </c>
      <c r="C235" s="1" t="str">
        <f t="shared" si="30"/>
        <v/>
      </c>
      <c r="D235" s="1" t="str">
        <f t="shared" si="31"/>
        <v/>
      </c>
      <c r="E235" s="1" t="str">
        <f t="shared" si="32"/>
        <v/>
      </c>
      <c r="F235" s="2">
        <v>6.0863763346787891E-3</v>
      </c>
      <c r="G235" s="1" t="str">
        <f t="shared" si="35"/>
        <v/>
      </c>
      <c r="H235" s="1" t="str">
        <f t="shared" si="33"/>
        <v/>
      </c>
      <c r="I235" s="1" t="str">
        <f t="shared" si="36"/>
        <v/>
      </c>
      <c r="J235" s="1" t="str">
        <f t="shared" si="34"/>
        <v/>
      </c>
    </row>
    <row r="236" spans="1:10" x14ac:dyDescent="0.45">
      <c r="A236" t="str">
        <f t="shared" si="28"/>
        <v/>
      </c>
      <c r="B236" s="1" t="str">
        <f t="shared" si="29"/>
        <v/>
      </c>
      <c r="C236" s="1" t="str">
        <f t="shared" si="30"/>
        <v/>
      </c>
      <c r="D236" s="1" t="str">
        <f t="shared" si="31"/>
        <v/>
      </c>
      <c r="E236" s="1" t="str">
        <f t="shared" si="32"/>
        <v/>
      </c>
      <c r="F236" s="2">
        <v>6.0863763346787891E-3</v>
      </c>
      <c r="G236" s="1" t="str">
        <f t="shared" si="35"/>
        <v/>
      </c>
      <c r="H236" s="1" t="str">
        <f t="shared" si="33"/>
        <v/>
      </c>
      <c r="I236" s="1" t="str">
        <f t="shared" si="36"/>
        <v/>
      </c>
      <c r="J236" s="1" t="str">
        <f t="shared" si="34"/>
        <v/>
      </c>
    </row>
    <row r="237" spans="1:10" x14ac:dyDescent="0.45">
      <c r="A237" t="str">
        <f t="shared" si="28"/>
        <v/>
      </c>
      <c r="B237" s="1" t="str">
        <f t="shared" si="29"/>
        <v/>
      </c>
      <c r="C237" s="1" t="str">
        <f t="shared" si="30"/>
        <v/>
      </c>
      <c r="D237" s="1" t="str">
        <f t="shared" si="31"/>
        <v/>
      </c>
      <c r="E237" s="1" t="str">
        <f t="shared" si="32"/>
        <v/>
      </c>
      <c r="F237" s="2">
        <v>6.0863763346787891E-3</v>
      </c>
      <c r="G237" s="1" t="str">
        <f t="shared" si="35"/>
        <v/>
      </c>
      <c r="H237" s="1" t="str">
        <f t="shared" si="33"/>
        <v/>
      </c>
      <c r="I237" s="1" t="str">
        <f t="shared" si="36"/>
        <v/>
      </c>
      <c r="J237" s="1" t="str">
        <f t="shared" si="34"/>
        <v/>
      </c>
    </row>
    <row r="238" spans="1:10" x14ac:dyDescent="0.45">
      <c r="A238" t="str">
        <f t="shared" si="28"/>
        <v/>
      </c>
      <c r="B238" s="1" t="str">
        <f t="shared" si="29"/>
        <v/>
      </c>
      <c r="C238" s="1" t="str">
        <f t="shared" si="30"/>
        <v/>
      </c>
      <c r="D238" s="1" t="str">
        <f t="shared" si="31"/>
        <v/>
      </c>
      <c r="E238" s="1" t="str">
        <f t="shared" si="32"/>
        <v/>
      </c>
      <c r="F238" s="2">
        <v>6.0863763346787891E-3</v>
      </c>
      <c r="G238" s="1" t="str">
        <f t="shared" si="35"/>
        <v/>
      </c>
      <c r="H238" s="1" t="str">
        <f t="shared" si="33"/>
        <v/>
      </c>
      <c r="I238" s="1" t="str">
        <f t="shared" si="36"/>
        <v/>
      </c>
      <c r="J238" s="1" t="str">
        <f t="shared" si="34"/>
        <v/>
      </c>
    </row>
    <row r="239" spans="1:10" x14ac:dyDescent="0.45">
      <c r="A239" t="str">
        <f t="shared" si="28"/>
        <v/>
      </c>
      <c r="B239" s="1" t="str">
        <f t="shared" si="29"/>
        <v/>
      </c>
      <c r="C239" s="1" t="str">
        <f t="shared" si="30"/>
        <v/>
      </c>
      <c r="D239" s="1" t="str">
        <f t="shared" si="31"/>
        <v/>
      </c>
      <c r="E239" s="1" t="str">
        <f t="shared" si="32"/>
        <v/>
      </c>
      <c r="F239" s="2">
        <v>6.0863763346787891E-3</v>
      </c>
      <c r="G239" s="1" t="str">
        <f t="shared" si="35"/>
        <v/>
      </c>
      <c r="H239" s="1" t="str">
        <f t="shared" si="33"/>
        <v/>
      </c>
      <c r="I239" s="1" t="str">
        <f t="shared" si="36"/>
        <v/>
      </c>
      <c r="J239" s="1" t="str">
        <f t="shared" si="34"/>
        <v/>
      </c>
    </row>
    <row r="240" spans="1:10" x14ac:dyDescent="0.45">
      <c r="A240" t="str">
        <f t="shared" si="28"/>
        <v/>
      </c>
      <c r="B240" s="1" t="str">
        <f t="shared" si="29"/>
        <v/>
      </c>
      <c r="C240" s="1" t="str">
        <f t="shared" si="30"/>
        <v/>
      </c>
      <c r="D240" s="1" t="str">
        <f t="shared" si="31"/>
        <v/>
      </c>
      <c r="E240" s="1" t="str">
        <f t="shared" si="32"/>
        <v/>
      </c>
      <c r="F240" s="2">
        <v>6.0863763346787891E-3</v>
      </c>
      <c r="G240" s="1" t="str">
        <f t="shared" si="35"/>
        <v/>
      </c>
      <c r="H240" s="1" t="str">
        <f t="shared" si="33"/>
        <v/>
      </c>
      <c r="I240" s="1" t="str">
        <f t="shared" si="36"/>
        <v/>
      </c>
      <c r="J240" s="1" t="str">
        <f t="shared" si="34"/>
        <v/>
      </c>
    </row>
    <row r="241" spans="1:10" x14ac:dyDescent="0.45">
      <c r="A241" t="str">
        <f t="shared" si="28"/>
        <v/>
      </c>
      <c r="B241" s="1" t="str">
        <f t="shared" si="29"/>
        <v/>
      </c>
      <c r="C241" s="1" t="str">
        <f t="shared" si="30"/>
        <v/>
      </c>
      <c r="D241" s="1" t="str">
        <f t="shared" si="31"/>
        <v/>
      </c>
      <c r="E241" s="1" t="str">
        <f t="shared" si="32"/>
        <v/>
      </c>
      <c r="F241" s="2">
        <v>6.0863763346787891E-3</v>
      </c>
      <c r="G241" s="1" t="str">
        <f t="shared" si="35"/>
        <v/>
      </c>
      <c r="H241" s="1" t="str">
        <f t="shared" si="33"/>
        <v/>
      </c>
      <c r="I241" s="1" t="str">
        <f t="shared" si="36"/>
        <v/>
      </c>
      <c r="J241" s="1" t="str">
        <f t="shared" si="34"/>
        <v/>
      </c>
    </row>
    <row r="242" spans="1:10" x14ac:dyDescent="0.45">
      <c r="A242" t="str">
        <f t="shared" si="28"/>
        <v/>
      </c>
      <c r="B242" s="1" t="str">
        <f t="shared" si="29"/>
        <v/>
      </c>
      <c r="C242" s="1" t="str">
        <f t="shared" si="30"/>
        <v/>
      </c>
      <c r="D242" s="1" t="str">
        <f t="shared" si="31"/>
        <v/>
      </c>
      <c r="E242" s="1" t="str">
        <f t="shared" si="32"/>
        <v/>
      </c>
      <c r="F242" s="2">
        <v>6.0863763346787891E-3</v>
      </c>
      <c r="G242" s="1" t="str">
        <f t="shared" si="35"/>
        <v/>
      </c>
      <c r="H242" s="1" t="str">
        <f t="shared" si="33"/>
        <v/>
      </c>
      <c r="I242" s="1" t="str">
        <f t="shared" si="36"/>
        <v/>
      </c>
      <c r="J242" s="1" t="str">
        <f t="shared" si="34"/>
        <v/>
      </c>
    </row>
    <row r="243" spans="1:10" x14ac:dyDescent="0.45">
      <c r="A243" t="str">
        <f t="shared" si="28"/>
        <v/>
      </c>
      <c r="B243" s="1" t="str">
        <f t="shared" si="29"/>
        <v/>
      </c>
      <c r="C243" s="1" t="str">
        <f t="shared" si="30"/>
        <v/>
      </c>
      <c r="D243" s="1" t="str">
        <f t="shared" si="31"/>
        <v/>
      </c>
      <c r="E243" s="1" t="str">
        <f t="shared" si="32"/>
        <v/>
      </c>
      <c r="F243" s="2">
        <v>6.0863763346787891E-3</v>
      </c>
      <c r="G243" s="1" t="str">
        <f t="shared" si="35"/>
        <v/>
      </c>
      <c r="H243" s="1" t="str">
        <f t="shared" si="33"/>
        <v/>
      </c>
      <c r="I243" s="1" t="str">
        <f t="shared" si="36"/>
        <v/>
      </c>
      <c r="J243" s="1" t="str">
        <f t="shared" si="34"/>
        <v/>
      </c>
    </row>
    <row r="244" spans="1:10" x14ac:dyDescent="0.45">
      <c r="A244" t="str">
        <f t="shared" si="28"/>
        <v/>
      </c>
      <c r="B244" s="1" t="str">
        <f t="shared" si="29"/>
        <v/>
      </c>
      <c r="C244" s="1" t="str">
        <f t="shared" si="30"/>
        <v/>
      </c>
      <c r="D244" s="1" t="str">
        <f t="shared" si="31"/>
        <v/>
      </c>
      <c r="E244" s="1" t="str">
        <f t="shared" si="32"/>
        <v/>
      </c>
      <c r="F244" s="2">
        <v>6.0863763346787891E-3</v>
      </c>
      <c r="G244" s="1" t="str">
        <f t="shared" si="35"/>
        <v/>
      </c>
      <c r="H244" s="1" t="str">
        <f t="shared" si="33"/>
        <v/>
      </c>
      <c r="I244" s="1" t="str">
        <f t="shared" si="36"/>
        <v/>
      </c>
      <c r="J244" s="1" t="str">
        <f t="shared" si="34"/>
        <v/>
      </c>
    </row>
    <row r="245" spans="1:10" x14ac:dyDescent="0.45">
      <c r="A245" t="str">
        <f t="shared" si="28"/>
        <v/>
      </c>
      <c r="B245" s="1" t="str">
        <f t="shared" si="29"/>
        <v/>
      </c>
      <c r="C245" s="1" t="str">
        <f t="shared" si="30"/>
        <v/>
      </c>
      <c r="D245" s="1" t="str">
        <f t="shared" si="31"/>
        <v/>
      </c>
      <c r="E245" s="1" t="str">
        <f t="shared" si="32"/>
        <v/>
      </c>
      <c r="F245" s="2">
        <v>6.0863763346787891E-3</v>
      </c>
      <c r="G245" s="1" t="str">
        <f t="shared" si="35"/>
        <v/>
      </c>
      <c r="H245" s="1" t="str">
        <f t="shared" si="33"/>
        <v/>
      </c>
      <c r="I245" s="1" t="str">
        <f t="shared" si="36"/>
        <v/>
      </c>
      <c r="J245" s="1" t="str">
        <f t="shared" si="34"/>
        <v/>
      </c>
    </row>
    <row r="246" spans="1:10" x14ac:dyDescent="0.45">
      <c r="A246" t="str">
        <f t="shared" si="28"/>
        <v/>
      </c>
      <c r="B246" s="1" t="str">
        <f t="shared" si="29"/>
        <v/>
      </c>
      <c r="C246" s="1" t="str">
        <f t="shared" si="30"/>
        <v/>
      </c>
      <c r="D246" s="1" t="str">
        <f t="shared" si="31"/>
        <v/>
      </c>
      <c r="E246" s="1" t="str">
        <f t="shared" si="32"/>
        <v/>
      </c>
      <c r="F246" s="2">
        <v>6.0863763346787891E-3</v>
      </c>
      <c r="G246" s="1" t="str">
        <f t="shared" si="35"/>
        <v/>
      </c>
      <c r="H246" s="1" t="str">
        <f t="shared" si="33"/>
        <v/>
      </c>
      <c r="I246" s="1" t="str">
        <f t="shared" si="36"/>
        <v/>
      </c>
      <c r="J246" s="1" t="str">
        <f t="shared" si="34"/>
        <v/>
      </c>
    </row>
    <row r="247" spans="1:10" x14ac:dyDescent="0.45">
      <c r="A247" t="str">
        <f t="shared" si="28"/>
        <v/>
      </c>
      <c r="B247" s="1" t="str">
        <f t="shared" si="29"/>
        <v/>
      </c>
      <c r="C247" s="1" t="str">
        <f t="shared" si="30"/>
        <v/>
      </c>
      <c r="D247" s="1" t="str">
        <f t="shared" si="31"/>
        <v/>
      </c>
      <c r="E247" s="1" t="str">
        <f t="shared" si="32"/>
        <v/>
      </c>
      <c r="F247" s="2">
        <v>6.0863763346787891E-3</v>
      </c>
      <c r="G247" s="1" t="str">
        <f t="shared" si="35"/>
        <v/>
      </c>
      <c r="H247" s="1" t="str">
        <f t="shared" si="33"/>
        <v/>
      </c>
      <c r="I247" s="1" t="str">
        <f t="shared" si="36"/>
        <v/>
      </c>
      <c r="J247" s="1" t="str">
        <f t="shared" si="34"/>
        <v/>
      </c>
    </row>
    <row r="248" spans="1:10" x14ac:dyDescent="0.45">
      <c r="A248" t="str">
        <f t="shared" si="28"/>
        <v/>
      </c>
      <c r="B248" s="1" t="str">
        <f t="shared" si="29"/>
        <v/>
      </c>
      <c r="C248" s="1" t="str">
        <f t="shared" si="30"/>
        <v/>
      </c>
      <c r="D248" s="1" t="str">
        <f t="shared" si="31"/>
        <v/>
      </c>
      <c r="E248" s="1" t="str">
        <f t="shared" si="32"/>
        <v/>
      </c>
      <c r="F248" s="2">
        <v>6.0863763346787891E-3</v>
      </c>
      <c r="G248" s="1" t="str">
        <f t="shared" si="35"/>
        <v/>
      </c>
      <c r="H248" s="1" t="str">
        <f t="shared" si="33"/>
        <v/>
      </c>
      <c r="I248" s="1" t="str">
        <f t="shared" si="36"/>
        <v/>
      </c>
      <c r="J248" s="1" t="str">
        <f t="shared" si="34"/>
        <v/>
      </c>
    </row>
    <row r="249" spans="1:10" x14ac:dyDescent="0.45">
      <c r="A249" t="str">
        <f t="shared" si="28"/>
        <v/>
      </c>
      <c r="B249" s="1" t="str">
        <f t="shared" si="29"/>
        <v/>
      </c>
      <c r="C249" s="1" t="str">
        <f t="shared" si="30"/>
        <v/>
      </c>
      <c r="D249" s="1" t="str">
        <f t="shared" si="31"/>
        <v/>
      </c>
      <c r="E249" s="1" t="str">
        <f t="shared" si="32"/>
        <v/>
      </c>
      <c r="F249" s="2">
        <v>6.0863763346787891E-3</v>
      </c>
      <c r="G249" s="1" t="str">
        <f t="shared" si="35"/>
        <v/>
      </c>
      <c r="H249" s="1" t="str">
        <f t="shared" si="33"/>
        <v/>
      </c>
      <c r="I249" s="1" t="str">
        <f t="shared" si="36"/>
        <v/>
      </c>
      <c r="J249" s="1" t="str">
        <f t="shared" si="34"/>
        <v/>
      </c>
    </row>
    <row r="250" spans="1:10" x14ac:dyDescent="0.45">
      <c r="A250" t="str">
        <f t="shared" si="28"/>
        <v/>
      </c>
      <c r="B250" s="1" t="str">
        <f t="shared" si="29"/>
        <v/>
      </c>
      <c r="C250" s="1" t="str">
        <f t="shared" si="30"/>
        <v/>
      </c>
      <c r="D250" s="1" t="str">
        <f t="shared" si="31"/>
        <v/>
      </c>
      <c r="E250" s="1" t="str">
        <f t="shared" si="32"/>
        <v/>
      </c>
      <c r="F250" s="2">
        <v>6.0863763346787891E-3</v>
      </c>
      <c r="G250" s="1" t="str">
        <f t="shared" si="35"/>
        <v/>
      </c>
      <c r="H250" s="1" t="str">
        <f t="shared" si="33"/>
        <v/>
      </c>
      <c r="I250" s="1" t="str">
        <f t="shared" si="36"/>
        <v/>
      </c>
      <c r="J250" s="1" t="str">
        <f t="shared" si="34"/>
        <v/>
      </c>
    </row>
    <row r="251" spans="1:10" x14ac:dyDescent="0.45">
      <c r="A251" t="str">
        <f t="shared" si="28"/>
        <v/>
      </c>
      <c r="B251" s="1" t="str">
        <f t="shared" si="29"/>
        <v/>
      </c>
      <c r="C251" s="1" t="str">
        <f t="shared" si="30"/>
        <v/>
      </c>
      <c r="D251" s="1" t="str">
        <f t="shared" si="31"/>
        <v/>
      </c>
      <c r="E251" s="1" t="str">
        <f t="shared" si="32"/>
        <v/>
      </c>
      <c r="F251" s="2">
        <v>6.0863763346787891E-3</v>
      </c>
      <c r="G251" s="1" t="str">
        <f t="shared" si="35"/>
        <v/>
      </c>
      <c r="H251" s="1" t="str">
        <f t="shared" si="33"/>
        <v/>
      </c>
      <c r="I251" s="1" t="str">
        <f t="shared" si="36"/>
        <v/>
      </c>
      <c r="J251" s="1" t="str">
        <f t="shared" si="34"/>
        <v/>
      </c>
    </row>
    <row r="252" spans="1:10" x14ac:dyDescent="0.45">
      <c r="A252" t="str">
        <f t="shared" si="28"/>
        <v/>
      </c>
      <c r="B252" s="1" t="str">
        <f t="shared" si="29"/>
        <v/>
      </c>
      <c r="C252" s="1" t="str">
        <f t="shared" si="30"/>
        <v/>
      </c>
      <c r="D252" s="1" t="str">
        <f t="shared" si="31"/>
        <v/>
      </c>
      <c r="E252" s="1" t="str">
        <f t="shared" si="32"/>
        <v/>
      </c>
      <c r="F252" s="2">
        <v>6.0863763346787891E-3</v>
      </c>
      <c r="G252" s="1" t="str">
        <f t="shared" si="35"/>
        <v/>
      </c>
      <c r="H252" s="1" t="str">
        <f t="shared" si="33"/>
        <v/>
      </c>
      <c r="I252" s="1" t="str">
        <f t="shared" si="36"/>
        <v/>
      </c>
      <c r="J252" s="1" t="str">
        <f t="shared" si="34"/>
        <v/>
      </c>
    </row>
    <row r="253" spans="1:10" x14ac:dyDescent="0.45">
      <c r="A253" t="str">
        <f t="shared" si="28"/>
        <v/>
      </c>
      <c r="B253" s="1" t="str">
        <f t="shared" si="29"/>
        <v/>
      </c>
      <c r="C253" s="1" t="str">
        <f t="shared" si="30"/>
        <v/>
      </c>
      <c r="D253" s="1" t="str">
        <f t="shared" si="31"/>
        <v/>
      </c>
      <c r="E253" s="1" t="str">
        <f t="shared" si="32"/>
        <v/>
      </c>
      <c r="F253" s="2">
        <v>6.0863763346787891E-3</v>
      </c>
      <c r="G253" s="1" t="str">
        <f t="shared" si="35"/>
        <v/>
      </c>
      <c r="H253" s="1" t="str">
        <f t="shared" si="33"/>
        <v/>
      </c>
      <c r="I253" s="1" t="str">
        <f t="shared" si="36"/>
        <v/>
      </c>
      <c r="J253" s="1" t="str">
        <f t="shared" si="34"/>
        <v/>
      </c>
    </row>
    <row r="254" spans="1:10" x14ac:dyDescent="0.45">
      <c r="A254" t="str">
        <f t="shared" si="28"/>
        <v/>
      </c>
      <c r="B254" s="1" t="str">
        <f t="shared" si="29"/>
        <v/>
      </c>
      <c r="C254" s="1" t="str">
        <f t="shared" si="30"/>
        <v/>
      </c>
      <c r="D254" s="1" t="str">
        <f t="shared" si="31"/>
        <v/>
      </c>
      <c r="E254" s="1" t="str">
        <f t="shared" si="32"/>
        <v/>
      </c>
      <c r="F254" s="2">
        <v>6.0863763346787891E-3</v>
      </c>
      <c r="G254" s="1" t="str">
        <f t="shared" si="35"/>
        <v/>
      </c>
      <c r="H254" s="1" t="str">
        <f t="shared" si="33"/>
        <v/>
      </c>
      <c r="I254" s="1" t="str">
        <f t="shared" si="36"/>
        <v/>
      </c>
      <c r="J254" s="1" t="str">
        <f t="shared" si="34"/>
        <v/>
      </c>
    </row>
    <row r="255" spans="1:10" x14ac:dyDescent="0.45">
      <c r="A255" t="str">
        <f t="shared" si="28"/>
        <v/>
      </c>
      <c r="B255" s="1" t="str">
        <f t="shared" si="29"/>
        <v/>
      </c>
      <c r="C255" s="1" t="str">
        <f t="shared" si="30"/>
        <v/>
      </c>
      <c r="D255" s="1" t="str">
        <f t="shared" si="31"/>
        <v/>
      </c>
      <c r="E255" s="1" t="str">
        <f t="shared" si="32"/>
        <v/>
      </c>
      <c r="F255" s="2">
        <v>6.0863763346787891E-3</v>
      </c>
      <c r="G255" s="1" t="str">
        <f t="shared" si="35"/>
        <v/>
      </c>
      <c r="H255" s="1" t="str">
        <f t="shared" si="33"/>
        <v/>
      </c>
      <c r="I255" s="1" t="str">
        <f t="shared" si="36"/>
        <v/>
      </c>
      <c r="J255" s="1" t="str">
        <f t="shared" si="34"/>
        <v/>
      </c>
    </row>
    <row r="256" spans="1:10" x14ac:dyDescent="0.45">
      <c r="A256" t="str">
        <f t="shared" si="28"/>
        <v/>
      </c>
      <c r="B256" s="1" t="str">
        <f t="shared" si="29"/>
        <v/>
      </c>
      <c r="C256" s="1" t="str">
        <f t="shared" si="30"/>
        <v/>
      </c>
      <c r="D256" s="1" t="str">
        <f t="shared" si="31"/>
        <v/>
      </c>
      <c r="E256" s="1" t="str">
        <f t="shared" si="32"/>
        <v/>
      </c>
      <c r="F256" s="2">
        <v>6.0863763346787891E-3</v>
      </c>
      <c r="G256" s="1" t="str">
        <f t="shared" si="35"/>
        <v/>
      </c>
      <c r="H256" s="1" t="str">
        <f t="shared" si="33"/>
        <v/>
      </c>
      <c r="I256" s="1" t="str">
        <f t="shared" si="36"/>
        <v/>
      </c>
      <c r="J256" s="1" t="str">
        <f t="shared" si="34"/>
        <v/>
      </c>
    </row>
    <row r="257" spans="1:10" x14ac:dyDescent="0.45">
      <c r="A257" t="str">
        <f t="shared" si="28"/>
        <v/>
      </c>
      <c r="B257" s="1" t="str">
        <f t="shared" si="29"/>
        <v/>
      </c>
      <c r="C257" s="1" t="str">
        <f t="shared" si="30"/>
        <v/>
      </c>
      <c r="D257" s="1" t="str">
        <f t="shared" si="31"/>
        <v/>
      </c>
      <c r="E257" s="1" t="str">
        <f t="shared" si="32"/>
        <v/>
      </c>
      <c r="F257" s="2">
        <v>6.0863763346787891E-3</v>
      </c>
      <c r="G257" s="1" t="str">
        <f t="shared" si="35"/>
        <v/>
      </c>
      <c r="H257" s="1" t="str">
        <f t="shared" si="33"/>
        <v/>
      </c>
      <c r="I257" s="1" t="str">
        <f t="shared" si="36"/>
        <v/>
      </c>
      <c r="J257" s="1" t="str">
        <f t="shared" si="34"/>
        <v/>
      </c>
    </row>
    <row r="258" spans="1:10" x14ac:dyDescent="0.45">
      <c r="A258" t="str">
        <f t="shared" si="28"/>
        <v/>
      </c>
      <c r="B258" s="1" t="str">
        <f t="shared" si="29"/>
        <v/>
      </c>
      <c r="C258" s="1" t="str">
        <f t="shared" si="30"/>
        <v/>
      </c>
      <c r="D258" s="1" t="str">
        <f t="shared" si="31"/>
        <v/>
      </c>
      <c r="E258" s="1" t="str">
        <f t="shared" si="32"/>
        <v/>
      </c>
      <c r="F258" s="2">
        <v>6.0863763346787891E-3</v>
      </c>
      <c r="G258" s="1" t="str">
        <f t="shared" si="35"/>
        <v/>
      </c>
      <c r="H258" s="1" t="str">
        <f t="shared" si="33"/>
        <v/>
      </c>
      <c r="I258" s="1" t="str">
        <f t="shared" si="36"/>
        <v/>
      </c>
      <c r="J258" s="1" t="str">
        <f t="shared" si="34"/>
        <v/>
      </c>
    </row>
    <row r="259" spans="1:10" x14ac:dyDescent="0.45">
      <c r="A259" t="str">
        <f t="shared" si="28"/>
        <v/>
      </c>
      <c r="B259" s="1" t="str">
        <f t="shared" si="29"/>
        <v/>
      </c>
      <c r="C259" s="1" t="str">
        <f t="shared" si="30"/>
        <v/>
      </c>
      <c r="D259" s="1" t="str">
        <f t="shared" si="31"/>
        <v/>
      </c>
      <c r="E259" s="1" t="str">
        <f t="shared" si="32"/>
        <v/>
      </c>
      <c r="F259" s="2">
        <v>6.0863763346787891E-3</v>
      </c>
      <c r="G259" s="1" t="str">
        <f t="shared" si="35"/>
        <v/>
      </c>
      <c r="H259" s="1" t="str">
        <f t="shared" si="33"/>
        <v/>
      </c>
      <c r="I259" s="1" t="str">
        <f t="shared" si="36"/>
        <v/>
      </c>
      <c r="J259" s="1" t="str">
        <f t="shared" si="34"/>
        <v/>
      </c>
    </row>
    <row r="260" spans="1:10" x14ac:dyDescent="0.45">
      <c r="A260" t="str">
        <f t="shared" ref="A260:A302" si="37">IF(A259&lt;$O$2*12, A259+1, "")</f>
        <v/>
      </c>
      <c r="B260" s="1" t="str">
        <f t="shared" ref="B260:B302" si="38">IF(A260&gt;$O$2*12, "",IF(AND(A260&lt;=$O$2*12,$O$33="T"), $E$2*$O$21/(1-1/((1+$O$21)^($O$2*12))), IF(AND(A260&lt;=$O$2*12,MOD(A260-1,12*$O$3)&lt;&gt;0),B259,IF(AND(A260&lt;=$O$2*12,MOD(A260-1,12*$O$3)=0), E259*F259/(1-1/((1+F259)^($O$2*12-A259))),""))))</f>
        <v/>
      </c>
      <c r="C260" s="1" t="str">
        <f t="shared" ref="C260:C302" si="39">IF(A260&lt;=$O$2*12,F259*E259,"")</f>
        <v/>
      </c>
      <c r="D260" s="1" t="str">
        <f t="shared" ref="D260:D302" si="40">IF(A260&lt;=$O$2*12, B260-C260+J260,"")</f>
        <v/>
      </c>
      <c r="E260" s="1" t="str">
        <f t="shared" ref="E260:E302" si="41">IF(A260&lt;=($O$2*12), E259-D260, "")</f>
        <v/>
      </c>
      <c r="F260" s="2">
        <v>6.0863763346787891E-3</v>
      </c>
      <c r="G260" s="1" t="str">
        <f t="shared" si="35"/>
        <v/>
      </c>
      <c r="H260" s="1" t="str">
        <f t="shared" ref="H260:H302" si="42">IF(A260&lt;=$O$2*12, I259*(($O$7/2+1)^(1/6)-1), "")</f>
        <v/>
      </c>
      <c r="I260" s="1" t="str">
        <f t="shared" si="36"/>
        <v/>
      </c>
      <c r="J260" s="1" t="str">
        <f t="shared" ref="J260:J302" si="43">IF(A260&gt;$O$2*12, "",IF(MOD(A260, 12) &lt;&gt; 0, 0, IF(I259+H260+G260&gt;B260*12*$O$5, 12*B260*$O$5, IF(I259+H260+G260&lt;=B260*12*$O$5, I259+H260+G260, ""))))</f>
        <v/>
      </c>
    </row>
    <row r="261" spans="1:10" x14ac:dyDescent="0.45">
      <c r="A261" t="str">
        <f t="shared" si="37"/>
        <v/>
      </c>
      <c r="B261" s="1" t="str">
        <f t="shared" si="38"/>
        <v/>
      </c>
      <c r="C261" s="1" t="str">
        <f t="shared" si="39"/>
        <v/>
      </c>
      <c r="D261" s="1" t="str">
        <f t="shared" si="40"/>
        <v/>
      </c>
      <c r="E261" s="1" t="str">
        <f t="shared" si="41"/>
        <v/>
      </c>
      <c r="F261" s="2">
        <v>6.0863763346787891E-3</v>
      </c>
      <c r="G261" s="1" t="str">
        <f t="shared" ref="G261:G302" si="44">IF(A261&gt;$O$2*12, "", IF(MOD(A261-1, 12) = 0, G260*(1+$O$8), G260))</f>
        <v/>
      </c>
      <c r="H261" s="1" t="str">
        <f t="shared" si="42"/>
        <v/>
      </c>
      <c r="I261" s="1" t="str">
        <f t="shared" ref="I261:I302" si="45">IF(A261&gt;$O$2*12, "", IF(MOD(A261, 12) &lt;&gt; 0, I260+G261+H261, I260+G261+H261-J261))</f>
        <v/>
      </c>
      <c r="J261" s="1" t="str">
        <f t="shared" si="43"/>
        <v/>
      </c>
    </row>
    <row r="262" spans="1:10" x14ac:dyDescent="0.45">
      <c r="A262" t="str">
        <f t="shared" si="37"/>
        <v/>
      </c>
      <c r="B262" s="1" t="str">
        <f t="shared" si="38"/>
        <v/>
      </c>
      <c r="C262" s="1" t="str">
        <f t="shared" si="39"/>
        <v/>
      </c>
      <c r="D262" s="1" t="str">
        <f t="shared" si="40"/>
        <v/>
      </c>
      <c r="E262" s="1" t="str">
        <f t="shared" si="41"/>
        <v/>
      </c>
      <c r="F262" s="2">
        <v>6.0863763346787891E-3</v>
      </c>
      <c r="G262" s="1" t="str">
        <f t="shared" si="44"/>
        <v/>
      </c>
      <c r="H262" s="1" t="str">
        <f t="shared" si="42"/>
        <v/>
      </c>
      <c r="I262" s="1" t="str">
        <f t="shared" si="45"/>
        <v/>
      </c>
      <c r="J262" s="1" t="str">
        <f t="shared" si="43"/>
        <v/>
      </c>
    </row>
    <row r="263" spans="1:10" x14ac:dyDescent="0.45">
      <c r="A263" t="str">
        <f t="shared" si="37"/>
        <v/>
      </c>
      <c r="B263" s="1" t="str">
        <f t="shared" si="38"/>
        <v/>
      </c>
      <c r="C263" s="1" t="str">
        <f t="shared" si="39"/>
        <v/>
      </c>
      <c r="D263" s="1" t="str">
        <f t="shared" si="40"/>
        <v/>
      </c>
      <c r="E263" s="1" t="str">
        <f t="shared" si="41"/>
        <v/>
      </c>
      <c r="F263" s="2">
        <v>6.0863763346787891E-3</v>
      </c>
      <c r="G263" s="1" t="str">
        <f t="shared" si="44"/>
        <v/>
      </c>
      <c r="H263" s="1" t="str">
        <f t="shared" si="42"/>
        <v/>
      </c>
      <c r="I263" s="1" t="str">
        <f t="shared" si="45"/>
        <v/>
      </c>
      <c r="J263" s="1" t="str">
        <f t="shared" si="43"/>
        <v/>
      </c>
    </row>
    <row r="264" spans="1:10" x14ac:dyDescent="0.45">
      <c r="A264" t="str">
        <f t="shared" si="37"/>
        <v/>
      </c>
      <c r="B264" s="1" t="str">
        <f t="shared" si="38"/>
        <v/>
      </c>
      <c r="C264" s="1" t="str">
        <f t="shared" si="39"/>
        <v/>
      </c>
      <c r="D264" s="1" t="str">
        <f t="shared" si="40"/>
        <v/>
      </c>
      <c r="E264" s="1" t="str">
        <f t="shared" si="41"/>
        <v/>
      </c>
      <c r="F264" s="2">
        <v>6.0863763346787891E-3</v>
      </c>
      <c r="G264" s="1" t="str">
        <f t="shared" si="44"/>
        <v/>
      </c>
      <c r="H264" s="1" t="str">
        <f t="shared" si="42"/>
        <v/>
      </c>
      <c r="I264" s="1" t="str">
        <f t="shared" si="45"/>
        <v/>
      </c>
      <c r="J264" s="1" t="str">
        <f t="shared" si="43"/>
        <v/>
      </c>
    </row>
    <row r="265" spans="1:10" x14ac:dyDescent="0.45">
      <c r="A265" t="str">
        <f t="shared" si="37"/>
        <v/>
      </c>
      <c r="B265" s="1" t="str">
        <f t="shared" si="38"/>
        <v/>
      </c>
      <c r="C265" s="1" t="str">
        <f t="shared" si="39"/>
        <v/>
      </c>
      <c r="D265" s="1" t="str">
        <f t="shared" si="40"/>
        <v/>
      </c>
      <c r="E265" s="1" t="str">
        <f t="shared" si="41"/>
        <v/>
      </c>
      <c r="F265" s="2">
        <v>6.0863763346787891E-3</v>
      </c>
      <c r="G265" s="1" t="str">
        <f t="shared" si="44"/>
        <v/>
      </c>
      <c r="H265" s="1" t="str">
        <f t="shared" si="42"/>
        <v/>
      </c>
      <c r="I265" s="1" t="str">
        <f t="shared" si="45"/>
        <v/>
      </c>
      <c r="J265" s="1" t="str">
        <f t="shared" si="43"/>
        <v/>
      </c>
    </row>
    <row r="266" spans="1:10" x14ac:dyDescent="0.45">
      <c r="A266" t="str">
        <f t="shared" si="37"/>
        <v/>
      </c>
      <c r="B266" s="1" t="str">
        <f t="shared" si="38"/>
        <v/>
      </c>
      <c r="C266" s="1" t="str">
        <f t="shared" si="39"/>
        <v/>
      </c>
      <c r="D266" s="1" t="str">
        <f t="shared" si="40"/>
        <v/>
      </c>
      <c r="E266" s="1" t="str">
        <f t="shared" si="41"/>
        <v/>
      </c>
      <c r="F266" s="2">
        <v>6.0863763346787891E-3</v>
      </c>
      <c r="G266" s="1" t="str">
        <f t="shared" si="44"/>
        <v/>
      </c>
      <c r="H266" s="1" t="str">
        <f t="shared" si="42"/>
        <v/>
      </c>
      <c r="I266" s="1" t="str">
        <f t="shared" si="45"/>
        <v/>
      </c>
      <c r="J266" s="1" t="str">
        <f t="shared" si="43"/>
        <v/>
      </c>
    </row>
    <row r="267" spans="1:10" x14ac:dyDescent="0.45">
      <c r="A267" t="str">
        <f t="shared" si="37"/>
        <v/>
      </c>
      <c r="B267" s="1" t="str">
        <f t="shared" si="38"/>
        <v/>
      </c>
      <c r="C267" s="1" t="str">
        <f t="shared" si="39"/>
        <v/>
      </c>
      <c r="D267" s="1" t="str">
        <f t="shared" si="40"/>
        <v/>
      </c>
      <c r="E267" s="1" t="str">
        <f t="shared" si="41"/>
        <v/>
      </c>
      <c r="F267" s="2">
        <v>6.0863763346787891E-3</v>
      </c>
      <c r="G267" s="1" t="str">
        <f t="shared" si="44"/>
        <v/>
      </c>
      <c r="H267" s="1" t="str">
        <f t="shared" si="42"/>
        <v/>
      </c>
      <c r="I267" s="1" t="str">
        <f t="shared" si="45"/>
        <v/>
      </c>
      <c r="J267" s="1" t="str">
        <f t="shared" si="43"/>
        <v/>
      </c>
    </row>
    <row r="268" spans="1:10" x14ac:dyDescent="0.45">
      <c r="A268" t="str">
        <f t="shared" si="37"/>
        <v/>
      </c>
      <c r="B268" s="1" t="str">
        <f t="shared" si="38"/>
        <v/>
      </c>
      <c r="C268" s="1" t="str">
        <f t="shared" si="39"/>
        <v/>
      </c>
      <c r="D268" s="1" t="str">
        <f t="shared" si="40"/>
        <v/>
      </c>
      <c r="E268" s="1" t="str">
        <f t="shared" si="41"/>
        <v/>
      </c>
      <c r="F268" s="2">
        <v>6.0863763346787891E-3</v>
      </c>
      <c r="G268" s="1" t="str">
        <f t="shared" si="44"/>
        <v/>
      </c>
      <c r="H268" s="1" t="str">
        <f t="shared" si="42"/>
        <v/>
      </c>
      <c r="I268" s="1" t="str">
        <f t="shared" si="45"/>
        <v/>
      </c>
      <c r="J268" s="1" t="str">
        <f t="shared" si="43"/>
        <v/>
      </c>
    </row>
    <row r="269" spans="1:10" x14ac:dyDescent="0.45">
      <c r="A269" t="str">
        <f t="shared" si="37"/>
        <v/>
      </c>
      <c r="B269" s="1" t="str">
        <f t="shared" si="38"/>
        <v/>
      </c>
      <c r="C269" s="1" t="str">
        <f t="shared" si="39"/>
        <v/>
      </c>
      <c r="D269" s="1" t="str">
        <f t="shared" si="40"/>
        <v/>
      </c>
      <c r="E269" s="1" t="str">
        <f t="shared" si="41"/>
        <v/>
      </c>
      <c r="F269" s="2">
        <v>6.0863763346787891E-3</v>
      </c>
      <c r="G269" s="1" t="str">
        <f t="shared" si="44"/>
        <v/>
      </c>
      <c r="H269" s="1" t="str">
        <f t="shared" si="42"/>
        <v/>
      </c>
      <c r="I269" s="1" t="str">
        <f t="shared" si="45"/>
        <v/>
      </c>
      <c r="J269" s="1" t="str">
        <f t="shared" si="43"/>
        <v/>
      </c>
    </row>
    <row r="270" spans="1:10" x14ac:dyDescent="0.45">
      <c r="A270" t="str">
        <f t="shared" si="37"/>
        <v/>
      </c>
      <c r="B270" s="1" t="str">
        <f t="shared" si="38"/>
        <v/>
      </c>
      <c r="C270" s="1" t="str">
        <f t="shared" si="39"/>
        <v/>
      </c>
      <c r="D270" s="1" t="str">
        <f t="shared" si="40"/>
        <v/>
      </c>
      <c r="E270" s="1" t="str">
        <f t="shared" si="41"/>
        <v/>
      </c>
      <c r="F270" s="2">
        <v>6.0863763346787891E-3</v>
      </c>
      <c r="G270" s="1" t="str">
        <f t="shared" si="44"/>
        <v/>
      </c>
      <c r="H270" s="1" t="str">
        <f t="shared" si="42"/>
        <v/>
      </c>
      <c r="I270" s="1" t="str">
        <f t="shared" si="45"/>
        <v/>
      </c>
      <c r="J270" s="1" t="str">
        <f t="shared" si="43"/>
        <v/>
      </c>
    </row>
    <row r="271" spans="1:10" x14ac:dyDescent="0.45">
      <c r="A271" t="str">
        <f t="shared" si="37"/>
        <v/>
      </c>
      <c r="B271" s="1" t="str">
        <f t="shared" si="38"/>
        <v/>
      </c>
      <c r="C271" s="1" t="str">
        <f t="shared" si="39"/>
        <v/>
      </c>
      <c r="D271" s="1" t="str">
        <f t="shared" si="40"/>
        <v/>
      </c>
      <c r="E271" s="1" t="str">
        <f t="shared" si="41"/>
        <v/>
      </c>
      <c r="F271" s="2">
        <v>6.0863763346787891E-3</v>
      </c>
      <c r="G271" s="1" t="str">
        <f t="shared" si="44"/>
        <v/>
      </c>
      <c r="H271" s="1" t="str">
        <f t="shared" si="42"/>
        <v/>
      </c>
      <c r="I271" s="1" t="str">
        <f t="shared" si="45"/>
        <v/>
      </c>
      <c r="J271" s="1" t="str">
        <f t="shared" si="43"/>
        <v/>
      </c>
    </row>
    <row r="272" spans="1:10" x14ac:dyDescent="0.45">
      <c r="A272" t="str">
        <f t="shared" si="37"/>
        <v/>
      </c>
      <c r="B272" s="1" t="str">
        <f t="shared" si="38"/>
        <v/>
      </c>
      <c r="C272" s="1" t="str">
        <f t="shared" si="39"/>
        <v/>
      </c>
      <c r="D272" s="1" t="str">
        <f t="shared" si="40"/>
        <v/>
      </c>
      <c r="E272" s="1" t="str">
        <f t="shared" si="41"/>
        <v/>
      </c>
      <c r="F272" s="2">
        <v>6.0863763346787891E-3</v>
      </c>
      <c r="G272" s="1" t="str">
        <f t="shared" si="44"/>
        <v/>
      </c>
      <c r="H272" s="1" t="str">
        <f t="shared" si="42"/>
        <v/>
      </c>
      <c r="I272" s="1" t="str">
        <f t="shared" si="45"/>
        <v/>
      </c>
      <c r="J272" s="1" t="str">
        <f t="shared" si="43"/>
        <v/>
      </c>
    </row>
    <row r="273" spans="1:10" x14ac:dyDescent="0.45">
      <c r="A273" t="str">
        <f t="shared" si="37"/>
        <v/>
      </c>
      <c r="B273" s="1" t="str">
        <f t="shared" si="38"/>
        <v/>
      </c>
      <c r="C273" s="1" t="str">
        <f t="shared" si="39"/>
        <v/>
      </c>
      <c r="D273" s="1" t="str">
        <f t="shared" si="40"/>
        <v/>
      </c>
      <c r="E273" s="1" t="str">
        <f t="shared" si="41"/>
        <v/>
      </c>
      <c r="F273" s="2">
        <v>6.0863763346787891E-3</v>
      </c>
      <c r="G273" s="1" t="str">
        <f t="shared" si="44"/>
        <v/>
      </c>
      <c r="H273" s="1" t="str">
        <f t="shared" si="42"/>
        <v/>
      </c>
      <c r="I273" s="1" t="str">
        <f t="shared" si="45"/>
        <v/>
      </c>
      <c r="J273" s="1" t="str">
        <f t="shared" si="43"/>
        <v/>
      </c>
    </row>
    <row r="274" spans="1:10" x14ac:dyDescent="0.45">
      <c r="A274" t="str">
        <f t="shared" si="37"/>
        <v/>
      </c>
      <c r="B274" s="1" t="str">
        <f t="shared" si="38"/>
        <v/>
      </c>
      <c r="C274" s="1" t="str">
        <f t="shared" si="39"/>
        <v/>
      </c>
      <c r="D274" s="1" t="str">
        <f t="shared" si="40"/>
        <v/>
      </c>
      <c r="E274" s="1" t="str">
        <f t="shared" si="41"/>
        <v/>
      </c>
      <c r="F274" s="2">
        <v>6.0863763346787891E-3</v>
      </c>
      <c r="G274" s="1" t="str">
        <f t="shared" si="44"/>
        <v/>
      </c>
      <c r="H274" s="1" t="str">
        <f t="shared" si="42"/>
        <v/>
      </c>
      <c r="I274" s="1" t="str">
        <f t="shared" si="45"/>
        <v/>
      </c>
      <c r="J274" s="1" t="str">
        <f t="shared" si="43"/>
        <v/>
      </c>
    </row>
    <row r="275" spans="1:10" x14ac:dyDescent="0.45">
      <c r="A275" t="str">
        <f t="shared" si="37"/>
        <v/>
      </c>
      <c r="B275" s="1" t="str">
        <f t="shared" si="38"/>
        <v/>
      </c>
      <c r="C275" s="1" t="str">
        <f t="shared" si="39"/>
        <v/>
      </c>
      <c r="D275" s="1" t="str">
        <f t="shared" si="40"/>
        <v/>
      </c>
      <c r="E275" s="1" t="str">
        <f t="shared" si="41"/>
        <v/>
      </c>
      <c r="F275" s="2">
        <v>6.0863763346787891E-3</v>
      </c>
      <c r="G275" s="1" t="str">
        <f t="shared" si="44"/>
        <v/>
      </c>
      <c r="H275" s="1" t="str">
        <f t="shared" si="42"/>
        <v/>
      </c>
      <c r="I275" s="1" t="str">
        <f t="shared" si="45"/>
        <v/>
      </c>
      <c r="J275" s="1" t="str">
        <f t="shared" si="43"/>
        <v/>
      </c>
    </row>
    <row r="276" spans="1:10" x14ac:dyDescent="0.45">
      <c r="A276" t="str">
        <f t="shared" si="37"/>
        <v/>
      </c>
      <c r="B276" s="1" t="str">
        <f t="shared" si="38"/>
        <v/>
      </c>
      <c r="C276" s="1" t="str">
        <f t="shared" si="39"/>
        <v/>
      </c>
      <c r="D276" s="1" t="str">
        <f t="shared" si="40"/>
        <v/>
      </c>
      <c r="E276" s="1" t="str">
        <f t="shared" si="41"/>
        <v/>
      </c>
      <c r="F276" s="2">
        <v>6.0863763346787891E-3</v>
      </c>
      <c r="G276" s="1" t="str">
        <f t="shared" si="44"/>
        <v/>
      </c>
      <c r="H276" s="1" t="str">
        <f t="shared" si="42"/>
        <v/>
      </c>
      <c r="I276" s="1" t="str">
        <f t="shared" si="45"/>
        <v/>
      </c>
      <c r="J276" s="1" t="str">
        <f t="shared" si="43"/>
        <v/>
      </c>
    </row>
    <row r="277" spans="1:10" x14ac:dyDescent="0.45">
      <c r="A277" t="str">
        <f t="shared" si="37"/>
        <v/>
      </c>
      <c r="B277" s="1" t="str">
        <f t="shared" si="38"/>
        <v/>
      </c>
      <c r="C277" s="1" t="str">
        <f t="shared" si="39"/>
        <v/>
      </c>
      <c r="D277" s="1" t="str">
        <f t="shared" si="40"/>
        <v/>
      </c>
      <c r="E277" s="1" t="str">
        <f t="shared" si="41"/>
        <v/>
      </c>
      <c r="F277" s="2">
        <v>6.0863763346787891E-3</v>
      </c>
      <c r="G277" s="1" t="str">
        <f t="shared" si="44"/>
        <v/>
      </c>
      <c r="H277" s="1" t="str">
        <f t="shared" si="42"/>
        <v/>
      </c>
      <c r="I277" s="1" t="str">
        <f t="shared" si="45"/>
        <v/>
      </c>
      <c r="J277" s="1" t="str">
        <f t="shared" si="43"/>
        <v/>
      </c>
    </row>
    <row r="278" spans="1:10" x14ac:dyDescent="0.45">
      <c r="A278" t="str">
        <f t="shared" si="37"/>
        <v/>
      </c>
      <c r="B278" s="1" t="str">
        <f t="shared" si="38"/>
        <v/>
      </c>
      <c r="C278" s="1" t="str">
        <f t="shared" si="39"/>
        <v/>
      </c>
      <c r="D278" s="1" t="str">
        <f t="shared" si="40"/>
        <v/>
      </c>
      <c r="E278" s="1" t="str">
        <f t="shared" si="41"/>
        <v/>
      </c>
      <c r="F278" s="2">
        <v>6.0863763346787891E-3</v>
      </c>
      <c r="G278" s="1" t="str">
        <f t="shared" si="44"/>
        <v/>
      </c>
      <c r="H278" s="1" t="str">
        <f t="shared" si="42"/>
        <v/>
      </c>
      <c r="I278" s="1" t="str">
        <f t="shared" si="45"/>
        <v/>
      </c>
      <c r="J278" s="1" t="str">
        <f t="shared" si="43"/>
        <v/>
      </c>
    </row>
    <row r="279" spans="1:10" x14ac:dyDescent="0.45">
      <c r="A279" t="str">
        <f t="shared" si="37"/>
        <v/>
      </c>
      <c r="B279" s="1" t="str">
        <f t="shared" si="38"/>
        <v/>
      </c>
      <c r="C279" s="1" t="str">
        <f t="shared" si="39"/>
        <v/>
      </c>
      <c r="D279" s="1" t="str">
        <f t="shared" si="40"/>
        <v/>
      </c>
      <c r="E279" s="1" t="str">
        <f t="shared" si="41"/>
        <v/>
      </c>
      <c r="F279" s="2">
        <v>6.0863763346787891E-3</v>
      </c>
      <c r="G279" s="1" t="str">
        <f t="shared" si="44"/>
        <v/>
      </c>
      <c r="H279" s="1" t="str">
        <f t="shared" si="42"/>
        <v/>
      </c>
      <c r="I279" s="1" t="str">
        <f t="shared" si="45"/>
        <v/>
      </c>
      <c r="J279" s="1" t="str">
        <f t="shared" si="43"/>
        <v/>
      </c>
    </row>
    <row r="280" spans="1:10" x14ac:dyDescent="0.45">
      <c r="A280" t="str">
        <f t="shared" si="37"/>
        <v/>
      </c>
      <c r="B280" s="1" t="str">
        <f t="shared" si="38"/>
        <v/>
      </c>
      <c r="C280" s="1" t="str">
        <f t="shared" si="39"/>
        <v/>
      </c>
      <c r="D280" s="1" t="str">
        <f t="shared" si="40"/>
        <v/>
      </c>
      <c r="E280" s="1" t="str">
        <f t="shared" si="41"/>
        <v/>
      </c>
      <c r="F280" s="2">
        <v>6.0863763346787891E-3</v>
      </c>
      <c r="G280" s="1" t="str">
        <f t="shared" si="44"/>
        <v/>
      </c>
      <c r="H280" s="1" t="str">
        <f t="shared" si="42"/>
        <v/>
      </c>
      <c r="I280" s="1" t="str">
        <f t="shared" si="45"/>
        <v/>
      </c>
      <c r="J280" s="1" t="str">
        <f t="shared" si="43"/>
        <v/>
      </c>
    </row>
    <row r="281" spans="1:10" x14ac:dyDescent="0.45">
      <c r="A281" t="str">
        <f t="shared" si="37"/>
        <v/>
      </c>
      <c r="B281" s="1" t="str">
        <f t="shared" si="38"/>
        <v/>
      </c>
      <c r="C281" s="1" t="str">
        <f t="shared" si="39"/>
        <v/>
      </c>
      <c r="D281" s="1" t="str">
        <f t="shared" si="40"/>
        <v/>
      </c>
      <c r="E281" s="1" t="str">
        <f t="shared" si="41"/>
        <v/>
      </c>
      <c r="F281" s="2">
        <v>6.0863763346787891E-3</v>
      </c>
      <c r="G281" s="1" t="str">
        <f t="shared" si="44"/>
        <v/>
      </c>
      <c r="H281" s="1" t="str">
        <f t="shared" si="42"/>
        <v/>
      </c>
      <c r="I281" s="1" t="str">
        <f t="shared" si="45"/>
        <v/>
      </c>
      <c r="J281" s="1" t="str">
        <f t="shared" si="43"/>
        <v/>
      </c>
    </row>
    <row r="282" spans="1:10" x14ac:dyDescent="0.45">
      <c r="A282" t="str">
        <f t="shared" si="37"/>
        <v/>
      </c>
      <c r="B282" s="1" t="str">
        <f t="shared" si="38"/>
        <v/>
      </c>
      <c r="C282" s="1" t="str">
        <f t="shared" si="39"/>
        <v/>
      </c>
      <c r="D282" s="1" t="str">
        <f t="shared" si="40"/>
        <v/>
      </c>
      <c r="E282" s="1" t="str">
        <f t="shared" si="41"/>
        <v/>
      </c>
      <c r="F282" s="2">
        <v>6.0863763346787891E-3</v>
      </c>
      <c r="G282" s="1" t="str">
        <f t="shared" si="44"/>
        <v/>
      </c>
      <c r="H282" s="1" t="str">
        <f t="shared" si="42"/>
        <v/>
      </c>
      <c r="I282" s="1" t="str">
        <f t="shared" si="45"/>
        <v/>
      </c>
      <c r="J282" s="1" t="str">
        <f t="shared" si="43"/>
        <v/>
      </c>
    </row>
    <row r="283" spans="1:10" x14ac:dyDescent="0.45">
      <c r="A283" t="str">
        <f t="shared" si="37"/>
        <v/>
      </c>
      <c r="B283" s="1" t="str">
        <f t="shared" si="38"/>
        <v/>
      </c>
      <c r="C283" s="1" t="str">
        <f t="shared" si="39"/>
        <v/>
      </c>
      <c r="D283" s="1" t="str">
        <f t="shared" si="40"/>
        <v/>
      </c>
      <c r="E283" s="1" t="str">
        <f t="shared" si="41"/>
        <v/>
      </c>
      <c r="F283" s="2">
        <v>6.0863763346787891E-3</v>
      </c>
      <c r="G283" s="1" t="str">
        <f t="shared" si="44"/>
        <v/>
      </c>
      <c r="H283" s="1" t="str">
        <f t="shared" si="42"/>
        <v/>
      </c>
      <c r="I283" s="1" t="str">
        <f t="shared" si="45"/>
        <v/>
      </c>
      <c r="J283" s="1" t="str">
        <f t="shared" si="43"/>
        <v/>
      </c>
    </row>
    <row r="284" spans="1:10" x14ac:dyDescent="0.45">
      <c r="A284" t="str">
        <f t="shared" si="37"/>
        <v/>
      </c>
      <c r="B284" s="1" t="str">
        <f t="shared" si="38"/>
        <v/>
      </c>
      <c r="C284" s="1" t="str">
        <f t="shared" si="39"/>
        <v/>
      </c>
      <c r="D284" s="1" t="str">
        <f t="shared" si="40"/>
        <v/>
      </c>
      <c r="E284" s="1" t="str">
        <f t="shared" si="41"/>
        <v/>
      </c>
      <c r="F284" s="2">
        <v>6.0863763346787891E-3</v>
      </c>
      <c r="G284" s="1" t="str">
        <f t="shared" si="44"/>
        <v/>
      </c>
      <c r="H284" s="1" t="str">
        <f t="shared" si="42"/>
        <v/>
      </c>
      <c r="I284" s="1" t="str">
        <f t="shared" si="45"/>
        <v/>
      </c>
      <c r="J284" s="1" t="str">
        <f t="shared" si="43"/>
        <v/>
      </c>
    </row>
    <row r="285" spans="1:10" x14ac:dyDescent="0.45">
      <c r="A285" t="str">
        <f t="shared" si="37"/>
        <v/>
      </c>
      <c r="B285" s="1" t="str">
        <f t="shared" si="38"/>
        <v/>
      </c>
      <c r="C285" s="1" t="str">
        <f t="shared" si="39"/>
        <v/>
      </c>
      <c r="D285" s="1" t="str">
        <f t="shared" si="40"/>
        <v/>
      </c>
      <c r="E285" s="1" t="str">
        <f t="shared" si="41"/>
        <v/>
      </c>
      <c r="F285" s="2">
        <v>6.0863763346787891E-3</v>
      </c>
      <c r="G285" s="1" t="str">
        <f t="shared" si="44"/>
        <v/>
      </c>
      <c r="H285" s="1" t="str">
        <f t="shared" si="42"/>
        <v/>
      </c>
      <c r="I285" s="1" t="str">
        <f t="shared" si="45"/>
        <v/>
      </c>
      <c r="J285" s="1" t="str">
        <f t="shared" si="43"/>
        <v/>
      </c>
    </row>
    <row r="286" spans="1:10" x14ac:dyDescent="0.45">
      <c r="A286" t="str">
        <f t="shared" si="37"/>
        <v/>
      </c>
      <c r="B286" s="1" t="str">
        <f t="shared" si="38"/>
        <v/>
      </c>
      <c r="C286" s="1" t="str">
        <f t="shared" si="39"/>
        <v/>
      </c>
      <c r="D286" s="1" t="str">
        <f t="shared" si="40"/>
        <v/>
      </c>
      <c r="E286" s="1" t="str">
        <f t="shared" si="41"/>
        <v/>
      </c>
      <c r="F286" s="2">
        <v>6.0863763346787891E-3</v>
      </c>
      <c r="G286" s="1" t="str">
        <f t="shared" si="44"/>
        <v/>
      </c>
      <c r="H286" s="1" t="str">
        <f t="shared" si="42"/>
        <v/>
      </c>
      <c r="I286" s="1" t="str">
        <f t="shared" si="45"/>
        <v/>
      </c>
      <c r="J286" s="1" t="str">
        <f t="shared" si="43"/>
        <v/>
      </c>
    </row>
    <row r="287" spans="1:10" x14ac:dyDescent="0.45">
      <c r="A287" t="str">
        <f t="shared" si="37"/>
        <v/>
      </c>
      <c r="B287" s="1" t="str">
        <f t="shared" si="38"/>
        <v/>
      </c>
      <c r="C287" s="1" t="str">
        <f t="shared" si="39"/>
        <v/>
      </c>
      <c r="D287" s="1" t="str">
        <f t="shared" si="40"/>
        <v/>
      </c>
      <c r="E287" s="1" t="str">
        <f t="shared" si="41"/>
        <v/>
      </c>
      <c r="F287" s="2">
        <v>6.0863763346787891E-3</v>
      </c>
      <c r="G287" s="1" t="str">
        <f t="shared" si="44"/>
        <v/>
      </c>
      <c r="H287" s="1" t="str">
        <f t="shared" si="42"/>
        <v/>
      </c>
      <c r="I287" s="1" t="str">
        <f t="shared" si="45"/>
        <v/>
      </c>
      <c r="J287" s="1" t="str">
        <f t="shared" si="43"/>
        <v/>
      </c>
    </row>
    <row r="288" spans="1:10" x14ac:dyDescent="0.45">
      <c r="A288" t="str">
        <f t="shared" si="37"/>
        <v/>
      </c>
      <c r="B288" s="1" t="str">
        <f t="shared" si="38"/>
        <v/>
      </c>
      <c r="C288" s="1" t="str">
        <f t="shared" si="39"/>
        <v/>
      </c>
      <c r="D288" s="1" t="str">
        <f t="shared" si="40"/>
        <v/>
      </c>
      <c r="E288" s="1" t="str">
        <f t="shared" si="41"/>
        <v/>
      </c>
      <c r="F288" s="2">
        <v>6.0863763346787891E-3</v>
      </c>
      <c r="G288" s="1" t="str">
        <f t="shared" si="44"/>
        <v/>
      </c>
      <c r="H288" s="1" t="str">
        <f t="shared" si="42"/>
        <v/>
      </c>
      <c r="I288" s="1" t="str">
        <f t="shared" si="45"/>
        <v/>
      </c>
      <c r="J288" s="1" t="str">
        <f t="shared" si="43"/>
        <v/>
      </c>
    </row>
    <row r="289" spans="1:10" x14ac:dyDescent="0.45">
      <c r="A289" t="str">
        <f t="shared" si="37"/>
        <v/>
      </c>
      <c r="B289" s="1" t="str">
        <f t="shared" si="38"/>
        <v/>
      </c>
      <c r="C289" s="1" t="str">
        <f t="shared" si="39"/>
        <v/>
      </c>
      <c r="D289" s="1" t="str">
        <f t="shared" si="40"/>
        <v/>
      </c>
      <c r="E289" s="1" t="str">
        <f t="shared" si="41"/>
        <v/>
      </c>
      <c r="F289" s="2">
        <v>6.0863763346787891E-3</v>
      </c>
      <c r="G289" s="1" t="str">
        <f t="shared" si="44"/>
        <v/>
      </c>
      <c r="H289" s="1" t="str">
        <f t="shared" si="42"/>
        <v/>
      </c>
      <c r="I289" s="1" t="str">
        <f t="shared" si="45"/>
        <v/>
      </c>
      <c r="J289" s="1" t="str">
        <f t="shared" si="43"/>
        <v/>
      </c>
    </row>
    <row r="290" spans="1:10" x14ac:dyDescent="0.45">
      <c r="A290" t="str">
        <f t="shared" si="37"/>
        <v/>
      </c>
      <c r="B290" s="1" t="str">
        <f t="shared" si="38"/>
        <v/>
      </c>
      <c r="C290" s="1" t="str">
        <f t="shared" si="39"/>
        <v/>
      </c>
      <c r="D290" s="1" t="str">
        <f t="shared" si="40"/>
        <v/>
      </c>
      <c r="E290" s="1" t="str">
        <f t="shared" si="41"/>
        <v/>
      </c>
      <c r="F290" s="2">
        <v>6.0863763346787891E-3</v>
      </c>
      <c r="G290" s="1" t="str">
        <f t="shared" si="44"/>
        <v/>
      </c>
      <c r="H290" s="1" t="str">
        <f t="shared" si="42"/>
        <v/>
      </c>
      <c r="I290" s="1" t="str">
        <f t="shared" si="45"/>
        <v/>
      </c>
      <c r="J290" s="1" t="str">
        <f t="shared" si="43"/>
        <v/>
      </c>
    </row>
    <row r="291" spans="1:10" x14ac:dyDescent="0.45">
      <c r="A291" t="str">
        <f t="shared" si="37"/>
        <v/>
      </c>
      <c r="B291" s="1" t="str">
        <f t="shared" si="38"/>
        <v/>
      </c>
      <c r="C291" s="1" t="str">
        <f t="shared" si="39"/>
        <v/>
      </c>
      <c r="D291" s="1" t="str">
        <f t="shared" si="40"/>
        <v/>
      </c>
      <c r="E291" s="1" t="str">
        <f t="shared" si="41"/>
        <v/>
      </c>
      <c r="F291" s="2">
        <v>6.0863763346787891E-3</v>
      </c>
      <c r="G291" s="1" t="str">
        <f t="shared" si="44"/>
        <v/>
      </c>
      <c r="H291" s="1" t="str">
        <f t="shared" si="42"/>
        <v/>
      </c>
      <c r="I291" s="1" t="str">
        <f t="shared" si="45"/>
        <v/>
      </c>
      <c r="J291" s="1" t="str">
        <f t="shared" si="43"/>
        <v/>
      </c>
    </row>
    <row r="292" spans="1:10" x14ac:dyDescent="0.45">
      <c r="A292" t="str">
        <f t="shared" si="37"/>
        <v/>
      </c>
      <c r="B292" s="1" t="str">
        <f t="shared" si="38"/>
        <v/>
      </c>
      <c r="C292" s="1" t="str">
        <f t="shared" si="39"/>
        <v/>
      </c>
      <c r="D292" s="1" t="str">
        <f t="shared" si="40"/>
        <v/>
      </c>
      <c r="E292" s="1" t="str">
        <f t="shared" si="41"/>
        <v/>
      </c>
      <c r="F292" s="2">
        <v>6.0863763346787891E-3</v>
      </c>
      <c r="G292" s="1" t="str">
        <f t="shared" si="44"/>
        <v/>
      </c>
      <c r="H292" s="1" t="str">
        <f t="shared" si="42"/>
        <v/>
      </c>
      <c r="I292" s="1" t="str">
        <f t="shared" si="45"/>
        <v/>
      </c>
      <c r="J292" s="1" t="str">
        <f t="shared" si="43"/>
        <v/>
      </c>
    </row>
    <row r="293" spans="1:10" x14ac:dyDescent="0.45">
      <c r="A293" t="str">
        <f t="shared" si="37"/>
        <v/>
      </c>
      <c r="B293" s="1" t="str">
        <f t="shared" si="38"/>
        <v/>
      </c>
      <c r="C293" s="1" t="str">
        <f t="shared" si="39"/>
        <v/>
      </c>
      <c r="D293" s="1" t="str">
        <f t="shared" si="40"/>
        <v/>
      </c>
      <c r="E293" s="1" t="str">
        <f t="shared" si="41"/>
        <v/>
      </c>
      <c r="F293" s="2">
        <v>6.0863763346787891E-3</v>
      </c>
      <c r="G293" s="1" t="str">
        <f t="shared" si="44"/>
        <v/>
      </c>
      <c r="H293" s="1" t="str">
        <f t="shared" si="42"/>
        <v/>
      </c>
      <c r="I293" s="1" t="str">
        <f t="shared" si="45"/>
        <v/>
      </c>
      <c r="J293" s="1" t="str">
        <f t="shared" si="43"/>
        <v/>
      </c>
    </row>
    <row r="294" spans="1:10" x14ac:dyDescent="0.45">
      <c r="A294" t="str">
        <f t="shared" si="37"/>
        <v/>
      </c>
      <c r="B294" s="1" t="str">
        <f t="shared" si="38"/>
        <v/>
      </c>
      <c r="C294" s="1" t="str">
        <f t="shared" si="39"/>
        <v/>
      </c>
      <c r="D294" s="1" t="str">
        <f t="shared" si="40"/>
        <v/>
      </c>
      <c r="E294" s="1" t="str">
        <f t="shared" si="41"/>
        <v/>
      </c>
      <c r="F294" s="2">
        <v>6.0863763346787891E-3</v>
      </c>
      <c r="G294" s="1" t="str">
        <f t="shared" si="44"/>
        <v/>
      </c>
      <c r="H294" s="1" t="str">
        <f t="shared" si="42"/>
        <v/>
      </c>
      <c r="I294" s="1" t="str">
        <f t="shared" si="45"/>
        <v/>
      </c>
      <c r="J294" s="1" t="str">
        <f t="shared" si="43"/>
        <v/>
      </c>
    </row>
    <row r="295" spans="1:10" x14ac:dyDescent="0.45">
      <c r="A295" t="str">
        <f t="shared" si="37"/>
        <v/>
      </c>
      <c r="B295" s="1" t="str">
        <f t="shared" si="38"/>
        <v/>
      </c>
      <c r="C295" s="1" t="str">
        <f t="shared" si="39"/>
        <v/>
      </c>
      <c r="D295" s="1" t="str">
        <f t="shared" si="40"/>
        <v/>
      </c>
      <c r="E295" s="1" t="str">
        <f t="shared" si="41"/>
        <v/>
      </c>
      <c r="F295" s="2">
        <v>6.0863763346787891E-3</v>
      </c>
      <c r="G295" s="1" t="str">
        <f t="shared" si="44"/>
        <v/>
      </c>
      <c r="H295" s="1" t="str">
        <f t="shared" si="42"/>
        <v/>
      </c>
      <c r="I295" s="1" t="str">
        <f t="shared" si="45"/>
        <v/>
      </c>
      <c r="J295" s="1" t="str">
        <f t="shared" si="43"/>
        <v/>
      </c>
    </row>
    <row r="296" spans="1:10" x14ac:dyDescent="0.45">
      <c r="A296" t="str">
        <f t="shared" si="37"/>
        <v/>
      </c>
      <c r="B296" s="1" t="str">
        <f t="shared" si="38"/>
        <v/>
      </c>
      <c r="C296" s="1" t="str">
        <f t="shared" si="39"/>
        <v/>
      </c>
      <c r="D296" s="1" t="str">
        <f t="shared" si="40"/>
        <v/>
      </c>
      <c r="E296" s="1" t="str">
        <f t="shared" si="41"/>
        <v/>
      </c>
      <c r="F296" s="2">
        <v>6.0863763346787891E-3</v>
      </c>
      <c r="G296" s="1" t="str">
        <f t="shared" si="44"/>
        <v/>
      </c>
      <c r="H296" s="1" t="str">
        <f t="shared" si="42"/>
        <v/>
      </c>
      <c r="I296" s="1" t="str">
        <f t="shared" si="45"/>
        <v/>
      </c>
      <c r="J296" s="1" t="str">
        <f t="shared" si="43"/>
        <v/>
      </c>
    </row>
    <row r="297" spans="1:10" x14ac:dyDescent="0.45">
      <c r="A297" t="str">
        <f t="shared" si="37"/>
        <v/>
      </c>
      <c r="B297" s="1" t="str">
        <f t="shared" si="38"/>
        <v/>
      </c>
      <c r="C297" s="1" t="str">
        <f t="shared" si="39"/>
        <v/>
      </c>
      <c r="D297" s="1" t="str">
        <f t="shared" si="40"/>
        <v/>
      </c>
      <c r="E297" s="1" t="str">
        <f t="shared" si="41"/>
        <v/>
      </c>
      <c r="F297" s="2">
        <v>6.0863763346787891E-3</v>
      </c>
      <c r="G297" s="1" t="str">
        <f t="shared" si="44"/>
        <v/>
      </c>
      <c r="H297" s="1" t="str">
        <f t="shared" si="42"/>
        <v/>
      </c>
      <c r="I297" s="1" t="str">
        <f t="shared" si="45"/>
        <v/>
      </c>
      <c r="J297" s="1" t="str">
        <f t="shared" si="43"/>
        <v/>
      </c>
    </row>
    <row r="298" spans="1:10" x14ac:dyDescent="0.45">
      <c r="A298" t="str">
        <f t="shared" si="37"/>
        <v/>
      </c>
      <c r="B298" s="1" t="str">
        <f t="shared" si="38"/>
        <v/>
      </c>
      <c r="C298" s="1" t="str">
        <f t="shared" si="39"/>
        <v/>
      </c>
      <c r="D298" s="1" t="str">
        <f t="shared" si="40"/>
        <v/>
      </c>
      <c r="E298" s="1" t="str">
        <f t="shared" si="41"/>
        <v/>
      </c>
      <c r="F298" s="2">
        <v>6.0863763346787891E-3</v>
      </c>
      <c r="G298" s="1" t="str">
        <f t="shared" si="44"/>
        <v/>
      </c>
      <c r="H298" s="1" t="str">
        <f t="shared" si="42"/>
        <v/>
      </c>
      <c r="I298" s="1" t="str">
        <f t="shared" si="45"/>
        <v/>
      </c>
      <c r="J298" s="1" t="str">
        <f t="shared" si="43"/>
        <v/>
      </c>
    </row>
    <row r="299" spans="1:10" x14ac:dyDescent="0.45">
      <c r="A299" t="str">
        <f t="shared" si="37"/>
        <v/>
      </c>
      <c r="B299" s="1" t="str">
        <f t="shared" si="38"/>
        <v/>
      </c>
      <c r="C299" s="1" t="str">
        <f t="shared" si="39"/>
        <v/>
      </c>
      <c r="D299" s="1" t="str">
        <f t="shared" si="40"/>
        <v/>
      </c>
      <c r="E299" s="1" t="str">
        <f t="shared" si="41"/>
        <v/>
      </c>
      <c r="F299" s="2">
        <v>6.0863763346787891E-3</v>
      </c>
      <c r="G299" s="1" t="str">
        <f t="shared" si="44"/>
        <v/>
      </c>
      <c r="H299" s="1" t="str">
        <f t="shared" si="42"/>
        <v/>
      </c>
      <c r="I299" s="1" t="str">
        <f t="shared" si="45"/>
        <v/>
      </c>
      <c r="J299" s="1" t="str">
        <f t="shared" si="43"/>
        <v/>
      </c>
    </row>
    <row r="300" spans="1:10" x14ac:dyDescent="0.45">
      <c r="A300" t="str">
        <f t="shared" si="37"/>
        <v/>
      </c>
      <c r="B300" s="1" t="str">
        <f t="shared" si="38"/>
        <v/>
      </c>
      <c r="C300" s="1" t="str">
        <f t="shared" si="39"/>
        <v/>
      </c>
      <c r="D300" s="1" t="str">
        <f t="shared" si="40"/>
        <v/>
      </c>
      <c r="E300" s="1" t="str">
        <f t="shared" si="41"/>
        <v/>
      </c>
      <c r="F300" s="2">
        <v>6.0863763346787891E-3</v>
      </c>
      <c r="G300" s="1" t="str">
        <f t="shared" si="44"/>
        <v/>
      </c>
      <c r="H300" s="1" t="str">
        <f t="shared" si="42"/>
        <v/>
      </c>
      <c r="I300" s="1" t="str">
        <f t="shared" si="45"/>
        <v/>
      </c>
      <c r="J300" s="1" t="str">
        <f t="shared" si="43"/>
        <v/>
      </c>
    </row>
    <row r="301" spans="1:10" x14ac:dyDescent="0.45">
      <c r="A301" t="str">
        <f t="shared" si="37"/>
        <v/>
      </c>
      <c r="B301" s="1" t="str">
        <f t="shared" si="38"/>
        <v/>
      </c>
      <c r="C301" s="1" t="str">
        <f t="shared" si="39"/>
        <v/>
      </c>
      <c r="D301" s="1" t="str">
        <f t="shared" si="40"/>
        <v/>
      </c>
      <c r="E301" s="1" t="str">
        <f t="shared" si="41"/>
        <v/>
      </c>
      <c r="F301" s="2">
        <v>6.0863763346787891E-3</v>
      </c>
      <c r="G301" s="1" t="str">
        <f t="shared" si="44"/>
        <v/>
      </c>
      <c r="H301" s="1" t="str">
        <f t="shared" si="42"/>
        <v/>
      </c>
      <c r="I301" s="1" t="str">
        <f t="shared" si="45"/>
        <v/>
      </c>
      <c r="J301" s="1" t="str">
        <f t="shared" si="43"/>
        <v/>
      </c>
    </row>
    <row r="302" spans="1:10" x14ac:dyDescent="0.45">
      <c r="A302" t="str">
        <f t="shared" si="37"/>
        <v/>
      </c>
      <c r="B302" s="1" t="str">
        <f t="shared" si="38"/>
        <v/>
      </c>
      <c r="C302" s="1" t="str">
        <f t="shared" si="39"/>
        <v/>
      </c>
      <c r="D302" s="1" t="str">
        <f t="shared" si="40"/>
        <v/>
      </c>
      <c r="E302" s="1" t="str">
        <f t="shared" si="41"/>
        <v/>
      </c>
      <c r="F302" s="2">
        <v>6.0863763346787891E-3</v>
      </c>
      <c r="G302" s="1" t="str">
        <f t="shared" si="44"/>
        <v/>
      </c>
      <c r="H302" s="1" t="str">
        <f t="shared" si="42"/>
        <v/>
      </c>
      <c r="I302" s="1" t="str">
        <f t="shared" si="45"/>
        <v/>
      </c>
      <c r="J302" s="1" t="str">
        <f t="shared" si="43"/>
        <v/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14</xdr:col>
                    <xdr:colOff>909638</xdr:colOff>
                    <xdr:row>32</xdr:row>
                    <xdr:rowOff>166688</xdr:rowOff>
                  </from>
                  <to>
                    <xdr:col>16</xdr:col>
                    <xdr:colOff>419100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utton1_Click">
                <anchor moveWithCells="1" sizeWithCells="1">
                  <from>
                    <xdr:col>14</xdr:col>
                    <xdr:colOff>909638</xdr:colOff>
                    <xdr:row>34</xdr:row>
                    <xdr:rowOff>166688</xdr:rowOff>
                  </from>
                  <to>
                    <xdr:col>16</xdr:col>
                    <xdr:colOff>428625</xdr:colOff>
                    <xdr:row>35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utton3_Click">
                <anchor moveWithCells="1" sizeWithCells="1">
                  <from>
                    <xdr:col>15</xdr:col>
                    <xdr:colOff>642938</xdr:colOff>
                    <xdr:row>6</xdr:row>
                    <xdr:rowOff>166688</xdr:rowOff>
                  </from>
                  <to>
                    <xdr:col>16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utton4_Click">
                <anchor moveWithCells="1" sizeWithCells="1">
                  <from>
                    <xdr:col>15</xdr:col>
                    <xdr:colOff>633413</xdr:colOff>
                    <xdr:row>4</xdr:row>
                    <xdr:rowOff>147638</xdr:rowOff>
                  </from>
                  <to>
                    <xdr:col>17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utton5_Click">
                <anchor moveWithCells="1" sizeWithCells="1">
                  <from>
                    <xdr:col>15</xdr:col>
                    <xdr:colOff>9525</xdr:colOff>
                    <xdr:row>36</xdr:row>
                    <xdr:rowOff>4763</xdr:rowOff>
                  </from>
                  <to>
                    <xdr:col>16</xdr:col>
                    <xdr:colOff>452438</xdr:colOff>
                    <xdr:row>37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tianxing yan</dc:creator>
  <cp:lastModifiedBy>tianxing yan</cp:lastModifiedBy>
  <cp:lastPrinted>2019-11-27T21:38:44Z</cp:lastPrinted>
  <dcterms:created xsi:type="dcterms:W3CDTF">2015-06-05T18:17:20Z</dcterms:created>
  <dcterms:modified xsi:type="dcterms:W3CDTF">2019-11-28T23:54:24Z</dcterms:modified>
</cp:coreProperties>
</file>